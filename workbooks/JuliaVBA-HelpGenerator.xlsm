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A1C0C41A-361E-4B45-A8DE-F524175BA786}" xr6:coauthVersionLast="47" xr6:coauthVersionMax="47" xr10:uidLastSave="{00000000-0000-0000-0000-000000000000}"/>
  <bookViews>
    <workbookView xWindow="48503" yWindow="-98" windowWidth="38595" windowHeight="21075" xr2:uid="{4CDB23DB-2186-44BE-93DB-1F9A8B06F279}"/>
  </bookViews>
  <sheets>
    <sheet name="Help" sheetId="1" r:id="rId1"/>
    <sheet name="Audit" sheetId="3" r:id="rId2"/>
  </sheets>
  <functionGroups builtInGroupCount="19"/>
  <definedNames>
    <definedName name="CSVReadArgs">Help!$B$9:$B$25</definedName>
    <definedName name="CSVWriteArgs">Help!#REF!</definedName>
    <definedName name="Headers" localSheetId="1">Audit!$B$5:$F$5</definedName>
    <definedName name="SourceFile">Help!$C$4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1" i="1" l="1" a="1"/>
  <c r="B151" i="1" a="1"/>
  <c r="B133" i="1" a="1"/>
  <c r="B192" i="1" a="1"/>
  <c r="B171" i="1" a="1"/>
  <c r="B160" i="1" a="1"/>
  <c r="B77" i="1" a="1"/>
  <c r="B141" i="1" a="1"/>
  <c r="B99" i="1" a="1"/>
  <c r="B121" i="1" a="1"/>
  <c r="B56" i="1" a="1"/>
  <c r="B30" i="1" a="1"/>
  <c r="B160" i="1" l="1"/>
  <c r="B171" i="1"/>
  <c r="B192" i="1"/>
  <c r="B133" i="1"/>
  <c r="B151" i="1"/>
  <c r="B181" i="1"/>
  <c r="B30" i="1"/>
  <c r="B56" i="1"/>
  <c r="B121" i="1"/>
  <c r="B99" i="1"/>
  <c r="B141" i="1"/>
  <c r="B7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<sst xmlns="http://schemas.openxmlformats.org/spreadsheetml/2006/main" count="80" uniqueCount="53">
  <si>
    <t>Workbook to keep three sources of help in sync: 1) Help available via Excel Function Wizard; 2) Help in headers of the VBA code; and 3) Help on GitHub.</t>
  </si>
  <si>
    <t>SourceFile</t>
  </si>
  <si>
    <t>VBA's method OpenAsTextStream</t>
  </si>
  <si>
    <t>FunctionName</t>
  </si>
  <si>
    <t>FunctionDescription</t>
  </si>
  <si>
    <t>Argument</t>
  </si>
  <si>
    <t>FileName</t>
  </si>
  <si>
    <t>VBA Code to register with Excel function Wizard. Function description and argument descriptions must be no longer than 255 characters.</t>
  </si>
  <si>
    <t>Markdown Help for GitHub README.MD</t>
  </si>
  <si>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</si>
  <si>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</si>
  <si>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</si>
  <si>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</si>
  <si>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</si>
  <si>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</si>
  <si>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</si>
  <si>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</si>
  <si>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VBA's method [OpenAsTextStream](https://docs.microsoft.com/en-us/office/vba/language/reference/user-interface-help/openastextstream-method)</t>
  </si>
  <si>
    <t>Replace this</t>
  </si>
  <si>
    <t>With this</t>
  </si>
  <si>
    <t>ISO8601</t>
  </si>
  <si>
    <t>[ISO8601](https://en.wikipedia.org/wiki/ISO_8601)</t>
  </si>
  <si>
    <t>Now save backups of this workbook to my one-drive.</t>
  </si>
  <si>
    <t>Fixed typo in IgnoreRepeated.</t>
  </si>
  <si>
    <t>Edits to help.</t>
  </si>
  <si>
    <t>CSVWrite now takes argument Encoding, not Unicode.</t>
  </si>
  <si>
    <t>DateFormat arg to CSVRead now defaults to Y-M-D.</t>
  </si>
  <si>
    <t>Edit to function CodeToRegister.</t>
  </si>
  <si>
    <t>CSVWrite now accepts Data having one dimension.</t>
  </si>
  <si>
    <t>Tweaks to CSVWrite documentation.</t>
  </si>
  <si>
    <t>Create VBA-CSV-Intellisense.xlsx workbook</t>
  </si>
  <si>
    <t>Help for VBAInterop</t>
  </si>
  <si>
    <t>C:\Projects\VBAInterop\vba\VBAInterop.xlsm\modVBAInterop.bas</t>
  </si>
  <si>
    <t>JuliaLaunch</t>
  </si>
  <si>
    <t>Launches a Julia session on the local PC which "listens" to calls to JuliaEval, JuliaCall made in the current Excel session and responds to them</t>
  </si>
  <si>
    <t>Short description (255 character limit)</t>
  </si>
  <si>
    <t>MinimiseWindow</t>
  </si>
  <si>
    <t>If TRUE, then the Julia session window is minimised, if FALSE (the default) then the window is normally sized.</t>
  </si>
  <si>
    <t>JuliaExe</t>
  </si>
  <si>
    <t>The location of the julie.exe executable. If omitted, then the function searches for a copy of julia.exe, first on the path and then at the default locations to which the julia installer program writes.</t>
  </si>
  <si>
    <t>JuliaEval</t>
  </si>
  <si>
    <t>Evaluate a Julia expression and return the value to Excel or VBA.</t>
  </si>
  <si>
    <t>JuliaExpression</t>
  </si>
  <si>
    <t>Any valid julia code. See Remarks below for how variable types in Julia are converted to types that are supported in VBA and in Excel.</t>
  </si>
  <si>
    <t>JuliaCall</t>
  </si>
  <si>
    <t>Call a named Julia function, passing in data from a spreadsheet or from VBA variables.</t>
  </si>
  <si>
    <t>JuliaFunction</t>
  </si>
  <si>
    <t>The name of a Julia function that's available in the Main module of the running Julia session.</t>
  </si>
  <si>
    <t>Args...</t>
  </si>
  <si>
    <t>Zero or more arguments, which may be Excel ranges or variables in VBA code.</t>
  </si>
  <si>
    <t>JuliaInclude</t>
  </si>
  <si>
    <t>The location of the file to be included. Windows-style paths (with backslashes) are converted to Unix style (forward slashes) before being passed to Julia.</t>
  </si>
  <si>
    <t>Headers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</si>
</sst>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ourier New"/>
      <family val="3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quotePrefix="1" applyFont="1" applyAlignment="1">
      <alignment horizontal="left"/>
    </xf>
    <xf numFmtId="0" fontId="3" fillId="0" borderId="0" xfId="0" applyFont="1"/>
    <xf numFmtId="0" fontId="4" fillId="0" borderId="0" xfId="0" quotePrefix="1" applyFont="1" applyProtection="1">
      <protection locked="0"/>
    </xf>
    <xf numFmtId="0" fontId="0" fillId="0" borderId="0" xfId="0" quotePrefix="1" applyAlignment="1">
      <alignment horizontal="left"/>
    </xf>
    <xf numFmtId="0" fontId="1" fillId="0" borderId="1" xfId="0" applyFont="1" applyBorder="1"/>
    <xf numFmtId="0" fontId="0" fillId="0" borderId="1" xfId="0" applyBorder="1"/>
    <xf numFmtId="0" fontId="0" fillId="0" borderId="1" xfId="0" quotePrefix="1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0" borderId="1" xfId="0" quotePrefix="1" applyBorder="1" applyAlignment="1">
      <alignment horizontal="left" vertical="center" wrapText="1"/>
    </xf>
    <xf numFmtId="14" fontId="0" fillId="0" borderId="1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5" fillId="0" borderId="0" xfId="0" quotePrefix="1" applyFont="1" applyAlignment="1">
      <alignment horizontal="left"/>
    </xf>
    <xf numFmtId="0" fontId="6" fillId="0" borderId="0" xfId="0" applyFont="1"/>
    <xf numFmtId="0" fontId="5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38" fontId="7" fillId="2" borderId="5" xfId="0" applyNumberFormat="1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164" fontId="7" fillId="2" borderId="6" xfId="0" applyNumberFormat="1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7" fillId="2" borderId="7" xfId="0" quotePrefix="1" applyFont="1" applyFill="1" applyBorder="1" applyAlignment="1">
      <alignment horizontal="left" vertical="center" wrapText="1"/>
    </xf>
    <xf numFmtId="14" fontId="0" fillId="0" borderId="1" xfId="0" quotePrefix="1" applyNumberFormat="1" applyBorder="1" applyAlignment="1">
      <alignment horizontal="left" vertical="center" wrapText="1"/>
    </xf>
    <xf numFmtId="0" fontId="1" fillId="0" borderId="0" xfId="0" applyFont="1"/>
    <xf numFmtId="164" fontId="7" fillId="2" borderId="9" xfId="0" applyNumberFormat="1" applyFont="1" applyFill="1" applyBorder="1" applyAlignment="1">
      <alignment horizontal="lef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 wrapText="1"/>
    </xf>
    <xf numFmtId="38" fontId="7" fillId="2" borderId="8" xfId="0" applyNumberFormat="1" applyFont="1" applyFill="1" applyBorder="1" applyAlignment="1">
      <alignment horizontal="center" vertical="center"/>
    </xf>
    <xf numFmtId="38" fontId="7" fillId="2" borderId="8" xfId="0" applyNumberFormat="1" applyFont="1" applyFill="1" applyBorder="1" applyAlignment="1">
      <alignment horizontal="center" vertical="center"/>
    </xf>
    <xf numFmtId="20" fontId="0" fillId="0" borderId="3" xfId="0" applyNumberFormat="1" applyBorder="1" applyAlignment="1">
      <alignment horizontal="left" vertical="center"/>
    </xf>
    <xf numFmtId="20" fontId="7" fillId="2" borderId="9" xfId="0" applyNumberFormat="1" applyFont="1" applyFill="1" applyBorder="1" applyAlignment="1">
      <alignment horizontal="left" vertical="center"/>
    </xf>
    <xf numFmtId="20" fontId="7" fillId="2" borderId="6" xfId="0" applyNumberFormat="1" applyFont="1" applyFill="1" applyBorder="1" applyAlignment="1">
      <alignment horizontal="left" vertical="center"/>
    </xf>
    <xf numFmtId="0" fontId="1" fillId="0" borderId="1" xfId="0" quotePrefix="1" applyFont="1" applyBorder="1" applyAlignment="1">
      <alignment horizontal="left"/>
    </xf>
  </cellXfs>
  <cellStyles count="1">
    <cellStyle name="Normal" xfId="0" builtinId="0"/>
  </cellStyles>
  <dxfs count="9"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6998-657C-4539-846A-F19E69FEF4F6}">
  <sheetPr codeName="shHelp"/>
  <dimension ref="B1:K285"/>
  <sheetViews>
    <sheetView showGridLines="0" showRowColHeaders="0" tabSelected="1" zoomScaleNormal="100" workbookViewId="0"/>
  </sheetViews>
  <sheetFormatPr defaultRowHeight="14.25" x14ac:dyDescent="0.45"/>
  <cols>
    <col min="1" max="1" width="4.59765625" customWidth="1"/>
    <col min="2" max="2" width="14.86328125" bestFit="1" customWidth="1"/>
    <col min="3" max="3" width="69.59765625" bestFit="1" customWidth="1"/>
    <col min="4" max="4" width="14.59765625" bestFit="1" customWidth="1"/>
    <col min="5" max="5" width="100.59765625" customWidth="1"/>
    <col min="10" max="10" width="27.53125" bestFit="1" customWidth="1"/>
    <col min="11" max="11" width="119.86328125" bestFit="1" customWidth="1"/>
  </cols>
  <sheetData>
    <row r="1" spans="2:11" ht="28.5" x14ac:dyDescent="0.85">
      <c r="B1" s="1" t="s">
        <v>31</v>
      </c>
    </row>
    <row r="2" spans="2:11" x14ac:dyDescent="0.45">
      <c r="B2" s="2" t="s">
        <v>0</v>
      </c>
    </row>
    <row r="3" spans="2:11" x14ac:dyDescent="0.45">
      <c r="B3" s="2"/>
    </row>
    <row r="4" spans="2:11" x14ac:dyDescent="0.45">
      <c r="B4" t="s">
        <v>1</v>
      </c>
      <c r="C4" s="3" t="s">
        <v>32</v>
      </c>
    </row>
    <row r="5" spans="2:11" x14ac:dyDescent="0.45">
      <c r="J5" s="27" t="s">
        <v>18</v>
      </c>
      <c r="K5" s="16" t="s">
        <v>19</v>
      </c>
    </row>
    <row r="6" spans="2:11" x14ac:dyDescent="0.45">
      <c r="B6" s="5" t="s">
        <v>3</v>
      </c>
      <c r="C6" s="5" t="s">
        <v>4</v>
      </c>
      <c r="J6" s="4" t="s">
        <v>2</v>
      </c>
      <c r="K6" s="4" t="s">
        <v>17</v>
      </c>
    </row>
    <row r="7" spans="2:11" ht="28.5" x14ac:dyDescent="0.45">
      <c r="B7" s="7" t="s">
        <v>33</v>
      </c>
      <c r="C7" s="8" t="s">
        <v>34</v>
      </c>
      <c r="J7" t="s">
        <v>20</v>
      </c>
      <c r="K7" s="4" t="s">
        <v>21</v>
      </c>
    </row>
    <row r="8" spans="2:11" x14ac:dyDescent="0.45">
      <c r="B8" s="5" t="s">
        <v>5</v>
      </c>
      <c r="C8" s="36" t="s">
        <v>35</v>
      </c>
      <c r="J8" s="4"/>
      <c r="K8" s="4"/>
    </row>
    <row r="9" spans="2:11" ht="28.5" x14ac:dyDescent="0.45">
      <c r="B9" s="8" t="s">
        <v>36</v>
      </c>
      <c r="C9" s="9" t="s">
        <v>37</v>
      </c>
    </row>
    <row r="10" spans="2:11" ht="42.75" x14ac:dyDescent="0.45">
      <c r="B10" s="10" t="s">
        <v>38</v>
      </c>
      <c r="C10" s="9" t="s">
        <v>39</v>
      </c>
    </row>
    <row r="12" spans="2:11" x14ac:dyDescent="0.45">
      <c r="B12" s="5" t="s">
        <v>3</v>
      </c>
      <c r="C12" s="5" t="s">
        <v>4</v>
      </c>
    </row>
    <row r="13" spans="2:11" x14ac:dyDescent="0.45">
      <c r="B13" s="7" t="s">
        <v>40</v>
      </c>
      <c r="C13" s="9" t="s">
        <v>41</v>
      </c>
    </row>
    <row r="14" spans="2:11" x14ac:dyDescent="0.45">
      <c r="B14" s="5" t="s">
        <v>5</v>
      </c>
      <c r="C14" s="36" t="s">
        <v>35</v>
      </c>
    </row>
    <row r="15" spans="2:11" ht="28.5" x14ac:dyDescent="0.45">
      <c r="B15" s="10" t="s">
        <v>42</v>
      </c>
      <c r="C15" s="9" t="s">
        <v>43</v>
      </c>
    </row>
    <row r="17" spans="2:10" x14ac:dyDescent="0.45">
      <c r="B17" s="5" t="s">
        <v>3</v>
      </c>
      <c r="C17" s="5" t="s">
        <v>4</v>
      </c>
    </row>
    <row r="18" spans="2:10" x14ac:dyDescent="0.45">
      <c r="B18" s="7" t="s">
        <v>44</v>
      </c>
      <c r="C18" s="9" t="s">
        <v>45</v>
      </c>
    </row>
    <row r="19" spans="2:10" x14ac:dyDescent="0.45">
      <c r="B19" s="5" t="s">
        <v>5</v>
      </c>
      <c r="C19" s="36" t="s">
        <v>35</v>
      </c>
    </row>
    <row r="20" spans="2:10" ht="28.5" x14ac:dyDescent="0.45">
      <c r="B20" s="26" t="s">
        <v>46</v>
      </c>
      <c r="C20" s="9" t="s">
        <v>47</v>
      </c>
      <c r="J20" s="4"/>
    </row>
    <row r="21" spans="2:10" x14ac:dyDescent="0.45">
      <c r="B21" s="6" t="s">
        <v>48</v>
      </c>
      <c r="C21" s="6" t="s">
        <v>49</v>
      </c>
    </row>
    <row r="23" spans="2:10" x14ac:dyDescent="0.45">
      <c r="B23" s="5" t="s">
        <v>3</v>
      </c>
      <c r="C23" s="5" t="s">
        <v>4</v>
      </c>
    </row>
    <row r="24" spans="2:10" x14ac:dyDescent="0.45">
      <c r="B24" s="7" t="s">
        <v>50</v>
      </c>
      <c r="C24" s="9"/>
    </row>
    <row r="25" spans="2:10" x14ac:dyDescent="0.45">
      <c r="B25" s="5" t="s">
        <v>5</v>
      </c>
      <c r="C25" s="36" t="s">
        <v>35</v>
      </c>
    </row>
    <row r="26" spans="2:10" ht="28.5" x14ac:dyDescent="0.45">
      <c r="B26" s="6" t="s">
        <v>6</v>
      </c>
      <c r="C26" s="9" t="s">
        <v>51</v>
      </c>
    </row>
    <row r="27" spans="2:10" x14ac:dyDescent="0.45">
      <c r="B27" s="11"/>
      <c r="C27" s="12"/>
    </row>
    <row r="28" spans="2:10" x14ac:dyDescent="0.45">
      <c r="C28" s="4"/>
    </row>
    <row r="29" spans="2:10" x14ac:dyDescent="0.45">
      <c r="B29" s="13" t="s">
        <v>7</v>
      </c>
    </row>
    <row r="30" spans="2:10" x14ac:dyDescent="0.45">
      <c r="B30" s="14" t="str" cm="1">
        <f t="array" aca="1" ref="B30:B53" ca="1">CodeToRegister(B7,C7,C9:C10)</f>
        <v>' -----------------------------------------------------------------------------------------------------------------------</v>
      </c>
      <c r="E30" s="14"/>
    </row>
    <row r="31" spans="2:10" x14ac:dyDescent="0.45">
      <c r="B31" s="14" t="str">
        <f ca="1"/>
        <v>' Procedure  : RegisterJuliaLaunch</v>
      </c>
      <c r="E31" s="14"/>
    </row>
    <row r="32" spans="2:10" x14ac:dyDescent="0.45">
      <c r="B32" s="14" t="str">
        <f ca="1"/>
        <v>' Purpose    : Register the function JuliaLaunch with the Excel function wizard. Suggest this function is called from a</v>
      </c>
      <c r="E32" s="14"/>
    </row>
    <row r="33" spans="2:5" x14ac:dyDescent="0.45">
      <c r="B33" s="14" t="str">
        <f ca="1"/>
        <v>'              WorkBook_Open event.</v>
      </c>
      <c r="E33" s="14"/>
    </row>
    <row r="34" spans="2:5" x14ac:dyDescent="0.45">
      <c r="B34" s="14" t="str">
        <f ca="1"/>
        <v>' -----------------------------------------------------------------------------------------------------------------------</v>
      </c>
      <c r="E34" s="14"/>
    </row>
    <row r="35" spans="2:5" x14ac:dyDescent="0.45">
      <c r="B35" s="14" t="str">
        <f ca="1"/>
        <v>Public Sub RegisterJuliaLaunch()</v>
      </c>
      <c r="E35" s="14"/>
    </row>
    <row r="36" spans="2:5" x14ac:dyDescent="0.45">
      <c r="B36" s="14" t="str">
        <f ca="1"/>
        <v xml:space="preserve">    Const Description As String = "Launches a Julia session on the local PC which ""listens"" to calls to " &amp; _</v>
      </c>
      <c r="E36" s="14"/>
    </row>
    <row r="37" spans="2:5" x14ac:dyDescent="0.45">
      <c r="B37" s="14" t="str">
        <f ca="1"/>
        <v xml:space="preserve">                                  "JuliaEval, JuliaCall made in the current Excel session and responds to them"</v>
      </c>
      <c r="E37" s="14"/>
    </row>
    <row r="38" spans="2:5" x14ac:dyDescent="0.45">
      <c r="B38" s="14" t="str">
        <f ca="1"/>
        <v xml:space="preserve">    Dim ArgDescs() As String</v>
      </c>
      <c r="E38" s="14"/>
    </row>
    <row r="39" spans="2:5" x14ac:dyDescent="0.45">
      <c r="B39" s="14" t="str">
        <f ca="1"/>
        <v/>
      </c>
      <c r="E39" s="14"/>
    </row>
    <row r="40" spans="2:5" x14ac:dyDescent="0.45">
      <c r="B40" s="14" t="str">
        <f ca="1"/>
        <v xml:space="preserve">    On Error GoTo ErrHandler</v>
      </c>
      <c r="E40" s="14"/>
    </row>
    <row r="41" spans="2:5" x14ac:dyDescent="0.45">
      <c r="B41" s="14" t="str">
        <f ca="1"/>
        <v/>
      </c>
      <c r="E41" s="14"/>
    </row>
    <row r="42" spans="2:5" x14ac:dyDescent="0.45">
      <c r="B42" s="14" t="str">
        <f ca="1"/>
        <v xml:space="preserve">    ReDim ArgDescs(1 To 2)</v>
      </c>
      <c r="E42" s="14"/>
    </row>
    <row r="43" spans="2:5" x14ac:dyDescent="0.45">
      <c r="B43" s="14" t="str">
        <f ca="1"/>
        <v xml:space="preserve">    ArgDescs(1) = "If TRUE, then the Julia session window is minimised, if FALSE (the default) then the window is " &amp; _</v>
      </c>
      <c r="E43" s="14"/>
    </row>
    <row r="44" spans="2:5" x14ac:dyDescent="0.45">
      <c r="B44" s="14" t="str">
        <f ca="1"/>
        <v xml:space="preserve">                  "normally sized."</v>
      </c>
      <c r="E44" s="14"/>
    </row>
    <row r="45" spans="2:5" x14ac:dyDescent="0.45">
      <c r="B45" s="14" t="str">
        <f ca="1"/>
        <v xml:space="preserve">    ArgDescs(2) = "The location of the julie.exe executable. If omitted, then the function searches for a copy of " &amp; _</v>
      </c>
      <c r="E45" s="14"/>
    </row>
    <row r="46" spans="2:5" x14ac:dyDescent="0.45">
      <c r="B46" s="14" t="str">
        <f ca="1"/>
        <v xml:space="preserve">                  "julia.exe, first on the path and then at the default locations to which the julia installer " &amp; _</v>
      </c>
      <c r="E46" s="14"/>
    </row>
    <row r="47" spans="2:5" x14ac:dyDescent="0.45">
      <c r="B47" s="14" t="str">
        <f ca="1"/>
        <v xml:space="preserve">                  "program writes."</v>
      </c>
      <c r="E47" s="14"/>
    </row>
    <row r="48" spans="2:5" x14ac:dyDescent="0.45">
      <c r="B48" s="14" t="str">
        <f ca="1"/>
        <v xml:space="preserve">    Application.MacroOptions "JuliaLaunch", Description, , , , , , , , , ArgDescs</v>
      </c>
      <c r="E48" s="14"/>
    </row>
    <row r="49" spans="2:10" x14ac:dyDescent="0.45">
      <c r="B49" s="14" t="str">
        <f ca="1"/>
        <v xml:space="preserve">    Exit Sub</v>
      </c>
      <c r="E49" s="14"/>
    </row>
    <row r="50" spans="2:10" x14ac:dyDescent="0.45">
      <c r="B50" s="14" t="str">
        <f ca="1"/>
        <v/>
      </c>
      <c r="E50" s="14"/>
    </row>
    <row r="51" spans="2:10" x14ac:dyDescent="0.45">
      <c r="B51" s="14" t="str">
        <f ca="1"/>
        <v>ErrHandler:</v>
      </c>
      <c r="E51" s="14"/>
    </row>
    <row r="52" spans="2:10" x14ac:dyDescent="0.45">
      <c r="B52" s="14" t="str">
        <f ca="1"/>
        <v xml:space="preserve">    Debug.Print "Warning: Registration of function JuliaLaunch failed with error: " + Err.Description</v>
      </c>
      <c r="E52" s="14"/>
    </row>
    <row r="53" spans="2:10" x14ac:dyDescent="0.45">
      <c r="B53" s="14" t="str">
        <f ca="1"/>
        <v>End Sub</v>
      </c>
      <c r="E53" s="14"/>
    </row>
    <row r="54" spans="2:10" x14ac:dyDescent="0.45">
      <c r="B54" s="14"/>
      <c r="E54" s="14"/>
    </row>
    <row r="55" spans="2:10" x14ac:dyDescent="0.45">
      <c r="B55" s="14"/>
      <c r="E55" s="14"/>
      <c r="J55" s="14"/>
    </row>
    <row r="56" spans="2:10" x14ac:dyDescent="0.45">
      <c r="B56" s="14" t="str" cm="1">
        <f t="array" aca="1" ref="B56:B75" ca="1">CodeToRegister(B13,C13,C15)</f>
        <v>' -----------------------------------------------------------------------------------------------------------------------</v>
      </c>
      <c r="E56" s="14"/>
      <c r="J56" s="14"/>
    </row>
    <row r="57" spans="2:10" x14ac:dyDescent="0.45">
      <c r="B57" s="14" t="str">
        <f ca="1"/>
        <v>' Procedure  : RegisterJuliaEval</v>
      </c>
      <c r="E57" s="14"/>
      <c r="J57" s="14"/>
    </row>
    <row r="58" spans="2:10" x14ac:dyDescent="0.45">
      <c r="B58" s="14" t="str">
        <f ca="1"/>
        <v>' Purpose    : Register the function JuliaEval with the Excel function wizard. Suggest this function is called from a</v>
      </c>
      <c r="E58" s="14"/>
      <c r="J58" s="14"/>
    </row>
    <row r="59" spans="2:10" x14ac:dyDescent="0.45">
      <c r="B59" s="14" t="str">
        <f ca="1"/>
        <v>'              WorkBook_Open event.</v>
      </c>
      <c r="E59" s="14"/>
      <c r="J59" s="14"/>
    </row>
    <row r="60" spans="2:10" x14ac:dyDescent="0.45">
      <c r="B60" s="14" t="str">
        <f ca="1"/>
        <v>' -----------------------------------------------------------------------------------------------------------------------</v>
      </c>
      <c r="E60" s="14"/>
      <c r="J60" s="14"/>
    </row>
    <row r="61" spans="2:10" x14ac:dyDescent="0.45">
      <c r="B61" s="14" t="str">
        <f ca="1"/>
        <v>Public Sub RegisterJuliaEval()</v>
      </c>
      <c r="E61" s="14"/>
      <c r="J61" s="14"/>
    </row>
    <row r="62" spans="2:10" x14ac:dyDescent="0.45">
      <c r="B62" s="14" t="str">
        <f ca="1"/>
        <v xml:space="preserve">    Const Description As String = "Evaluate a Julia expression and return the value to Excel or VBA."</v>
      </c>
      <c r="E62" s="14"/>
      <c r="J62" s="14"/>
    </row>
    <row r="63" spans="2:10" x14ac:dyDescent="0.45">
      <c r="B63" s="14" t="str">
        <f ca="1"/>
        <v xml:space="preserve">    Dim ArgDescs() As String</v>
      </c>
      <c r="E63" s="14"/>
      <c r="J63" s="14"/>
    </row>
    <row r="64" spans="2:10" x14ac:dyDescent="0.45">
      <c r="B64" s="14" t="str">
        <f ca="1"/>
        <v/>
      </c>
      <c r="E64" s="14"/>
      <c r="J64" s="14"/>
    </row>
    <row r="65" spans="2:10" x14ac:dyDescent="0.45">
      <c r="B65" s="14" t="str">
        <f ca="1"/>
        <v xml:space="preserve">    On Error GoTo ErrHandler</v>
      </c>
      <c r="E65" s="14"/>
      <c r="J65" s="14"/>
    </row>
    <row r="66" spans="2:10" x14ac:dyDescent="0.45">
      <c r="B66" s="14" t="str">
        <f ca="1"/>
        <v/>
      </c>
      <c r="E66" s="14"/>
      <c r="J66" s="14"/>
    </row>
    <row r="67" spans="2:10" x14ac:dyDescent="0.45">
      <c r="B67" s="14" t="str">
        <f ca="1"/>
        <v xml:space="preserve">    ReDim ArgDescs(1 To 1)</v>
      </c>
      <c r="E67" s="14"/>
      <c r="J67" s="14"/>
    </row>
    <row r="68" spans="2:10" x14ac:dyDescent="0.45">
      <c r="B68" s="14" t="str">
        <f ca="1"/>
        <v xml:space="preserve">    ArgDescs(1) = "Any valid julia code. See Remarks below for how variable types in Julia are converted to types " &amp; _</v>
      </c>
      <c r="E68" s="14"/>
      <c r="J68" s="14"/>
    </row>
    <row r="69" spans="2:10" x14ac:dyDescent="0.45">
      <c r="B69" s="14" t="str">
        <f ca="1"/>
        <v xml:space="preserve">                  "that are supported in VBA and in Excel."</v>
      </c>
      <c r="E69" s="14"/>
      <c r="J69" s="14"/>
    </row>
    <row r="70" spans="2:10" x14ac:dyDescent="0.45">
      <c r="B70" s="14" t="str">
        <f ca="1"/>
        <v xml:space="preserve">    Application.MacroOptions "JuliaEval", Description, , , , , , , , , ArgDescs</v>
      </c>
      <c r="E70" s="14"/>
      <c r="J70" s="14"/>
    </row>
    <row r="71" spans="2:10" x14ac:dyDescent="0.45">
      <c r="B71" s="14" t="str">
        <f ca="1"/>
        <v xml:space="preserve">    Exit Sub</v>
      </c>
      <c r="E71" s="14"/>
      <c r="J71" s="14"/>
    </row>
    <row r="72" spans="2:10" x14ac:dyDescent="0.45">
      <c r="B72" s="14" t="str">
        <f ca="1"/>
        <v/>
      </c>
      <c r="E72" s="14"/>
    </row>
    <row r="73" spans="2:10" x14ac:dyDescent="0.45">
      <c r="B73" s="14" t="str">
        <f ca="1"/>
        <v>ErrHandler:</v>
      </c>
      <c r="E73" s="14"/>
    </row>
    <row r="74" spans="2:10" x14ac:dyDescent="0.45">
      <c r="B74" s="14" t="str">
        <f ca="1"/>
        <v xml:space="preserve">    Debug.Print "Warning: Registration of function JuliaEval failed with error: " + Err.Description</v>
      </c>
      <c r="E74" s="14"/>
    </row>
    <row r="75" spans="2:10" x14ac:dyDescent="0.45">
      <c r="B75" s="14" t="str">
        <f ca="1"/>
        <v>End Sub</v>
      </c>
    </row>
    <row r="76" spans="2:10" x14ac:dyDescent="0.45">
      <c r="B76" s="14"/>
    </row>
    <row r="77" spans="2:10" x14ac:dyDescent="0.45">
      <c r="B77" s="14" t="str" cm="1">
        <f t="array" aca="1" ref="B77:B97" ca="1">CodeToRegister(B18,C18,C20:C21)</f>
        <v>' -----------------------------------------------------------------------------------------------------------------------</v>
      </c>
    </row>
    <row r="78" spans="2:10" x14ac:dyDescent="0.45">
      <c r="B78" s="14" t="str">
        <f ca="1"/>
        <v>' Procedure  : RegisterJuliaCall</v>
      </c>
    </row>
    <row r="79" spans="2:10" x14ac:dyDescent="0.45">
      <c r="B79" s="14" t="str">
        <f ca="1"/>
        <v>' Purpose    : Register the function JuliaCall with the Excel function wizard. Suggest this function is called from a</v>
      </c>
    </row>
    <row r="80" spans="2:10" x14ac:dyDescent="0.45">
      <c r="B80" s="14" t="str">
        <f ca="1"/>
        <v>'              WorkBook_Open event.</v>
      </c>
    </row>
    <row r="81" spans="2:2" x14ac:dyDescent="0.45">
      <c r="B81" s="14" t="str">
        <f ca="1"/>
        <v>' -----------------------------------------------------------------------------------------------------------------------</v>
      </c>
    </row>
    <row r="82" spans="2:2" x14ac:dyDescent="0.45">
      <c r="B82" s="14" t="str">
        <f ca="1"/>
        <v>Public Sub RegisterJuliaCall()</v>
      </c>
    </row>
    <row r="83" spans="2:2" x14ac:dyDescent="0.45">
      <c r="B83" s="14" t="str">
        <f ca="1"/>
        <v xml:space="preserve">    Const Description As String = "Call a named Julia function, passing in data from a spreadsheet or from VBA " &amp; _</v>
      </c>
    </row>
    <row r="84" spans="2:2" x14ac:dyDescent="0.45">
      <c r="B84" s="14" t="str">
        <f ca="1"/>
        <v xml:space="preserve">                                  "variables."</v>
      </c>
    </row>
    <row r="85" spans="2:2" x14ac:dyDescent="0.45">
      <c r="B85" s="14" t="str">
        <f ca="1"/>
        <v xml:space="preserve">    Dim ArgDescs() As String</v>
      </c>
    </row>
    <row r="86" spans="2:2" x14ac:dyDescent="0.45">
      <c r="B86" s="14" t="str">
        <f ca="1"/>
        <v/>
      </c>
    </row>
    <row r="87" spans="2:2" x14ac:dyDescent="0.45">
      <c r="B87" s="14" t="str">
        <f ca="1"/>
        <v xml:space="preserve">    On Error GoTo ErrHandler</v>
      </c>
    </row>
    <row r="88" spans="2:2" x14ac:dyDescent="0.45">
      <c r="B88" s="14" t="str">
        <f ca="1"/>
        <v/>
      </c>
    </row>
    <row r="89" spans="2:2" x14ac:dyDescent="0.45">
      <c r="B89" s="14" t="str">
        <f ca="1"/>
        <v xml:space="preserve">    ReDim ArgDescs(1 To 2)</v>
      </c>
    </row>
    <row r="90" spans="2:2" x14ac:dyDescent="0.45">
      <c r="B90" s="14" t="str">
        <f ca="1"/>
        <v xml:space="preserve">    ArgDescs(1) = "The name of a Julia function that's available in the Main module of the running Julia session."</v>
      </c>
    </row>
    <row r="91" spans="2:2" x14ac:dyDescent="0.45">
      <c r="B91" s="14" t="str">
        <f ca="1"/>
        <v xml:space="preserve">    ArgDescs(2) = "Zero or more arguments, which may be Excel ranges or variables in VBA code."</v>
      </c>
    </row>
    <row r="92" spans="2:2" x14ac:dyDescent="0.45">
      <c r="B92" s="14" t="str">
        <f ca="1"/>
        <v xml:space="preserve">    Application.MacroOptions "JuliaCall", Description, , , , , , , , , ArgDescs</v>
      </c>
    </row>
    <row r="93" spans="2:2" x14ac:dyDescent="0.45">
      <c r="B93" s="14" t="str">
        <f ca="1"/>
        <v xml:space="preserve">    Exit Sub</v>
      </c>
    </row>
    <row r="94" spans="2:2" x14ac:dyDescent="0.45">
      <c r="B94" s="14" t="str">
        <f ca="1"/>
        <v/>
      </c>
    </row>
    <row r="95" spans="2:2" x14ac:dyDescent="0.45">
      <c r="B95" s="14" t="str">
        <f ca="1"/>
        <v>ErrHandler:</v>
      </c>
    </row>
    <row r="96" spans="2:2" x14ac:dyDescent="0.45">
      <c r="B96" s="14" t="str">
        <f ca="1"/>
        <v xml:space="preserve">    Debug.Print "Warning: Registration of function JuliaCall failed with error: " + Err.Description</v>
      </c>
    </row>
    <row r="97" spans="2:2" x14ac:dyDescent="0.45">
      <c r="B97" s="14" t="str">
        <f ca="1"/>
        <v>End Sub</v>
      </c>
    </row>
    <row r="98" spans="2:2" x14ac:dyDescent="0.45">
      <c r="B98" s="14"/>
    </row>
    <row r="99" spans="2:2" x14ac:dyDescent="0.45">
      <c r="B99" s="14" t="str" cm="1">
        <f t="array" aca="1" ref="B99:B118" ca="1">CodeToRegister(B24,C24,C26)</f>
        <v>' -----------------------------------------------------------------------------------------------------------------------</v>
      </c>
    </row>
    <row r="100" spans="2:2" x14ac:dyDescent="0.45">
      <c r="B100" s="14" t="str">
        <f ca="1"/>
        <v>' Procedure  : RegisterJuliaInclude</v>
      </c>
    </row>
    <row r="101" spans="2:2" x14ac:dyDescent="0.45">
      <c r="B101" s="14" t="str">
        <f ca="1"/>
        <v>' Purpose    : Register the function JuliaInclude with the Excel function wizard. Suggest this function is called from a</v>
      </c>
    </row>
    <row r="102" spans="2:2" x14ac:dyDescent="0.45">
      <c r="B102" s="14" t="str">
        <f ca="1"/>
        <v>'              WorkBook_Open event.</v>
      </c>
    </row>
    <row r="103" spans="2:2" x14ac:dyDescent="0.45">
      <c r="B103" s="14" t="str">
        <f ca="1"/>
        <v>' -----------------------------------------------------------------------------------------------------------------------</v>
      </c>
    </row>
    <row r="104" spans="2:2" x14ac:dyDescent="0.45">
      <c r="B104" s="14" t="str">
        <f ca="1"/>
        <v>Public Sub RegisterJuliaInclude()</v>
      </c>
    </row>
    <row r="105" spans="2:2" x14ac:dyDescent="0.45">
      <c r="B105" s="14" t="str">
        <f ca="1"/>
        <v xml:space="preserve">    Const Description As String = ""</v>
      </c>
    </row>
    <row r="106" spans="2:2" x14ac:dyDescent="0.45">
      <c r="B106" s="14" t="str">
        <f ca="1"/>
        <v xml:space="preserve">    Dim ArgDescs() As String</v>
      </c>
    </row>
    <row r="107" spans="2:2" x14ac:dyDescent="0.45">
      <c r="B107" s="14" t="str">
        <f ca="1"/>
        <v/>
      </c>
    </row>
    <row r="108" spans="2:2" x14ac:dyDescent="0.45">
      <c r="B108" s="14" t="str">
        <f ca="1"/>
        <v xml:space="preserve">    On Error GoTo ErrHandler</v>
      </c>
    </row>
    <row r="109" spans="2:2" x14ac:dyDescent="0.45">
      <c r="B109" s="14" t="str">
        <f ca="1"/>
        <v/>
      </c>
    </row>
    <row r="110" spans="2:2" x14ac:dyDescent="0.45">
      <c r="B110" s="14" t="str">
        <f ca="1"/>
        <v xml:space="preserve">    ReDim ArgDescs(1 To 1)</v>
      </c>
    </row>
    <row r="111" spans="2:2" x14ac:dyDescent="0.45">
      <c r="B111" s="14" t="str">
        <f ca="1"/>
        <v xml:space="preserve">    ArgDescs(1) = "The location of the file to be included. Windows-style paths (with backslashes) are converted " &amp; _</v>
      </c>
    </row>
    <row r="112" spans="2:2" x14ac:dyDescent="0.45">
      <c r="B112" s="14" t="str">
        <f ca="1"/>
        <v xml:space="preserve">                  "to Unix style (forward slashes) before being passed to Julia."</v>
      </c>
    </row>
    <row r="113" spans="2:2" x14ac:dyDescent="0.45">
      <c r="B113" s="14" t="str">
        <f ca="1"/>
        <v xml:space="preserve">    Application.MacroOptions "JuliaInclude", Description, , , , , , , , , ArgDescs</v>
      </c>
    </row>
    <row r="114" spans="2:2" x14ac:dyDescent="0.45">
      <c r="B114" s="14" t="str">
        <f ca="1"/>
        <v xml:space="preserve">    Exit Sub</v>
      </c>
    </row>
    <row r="115" spans="2:2" x14ac:dyDescent="0.45">
      <c r="B115" s="14" t="str">
        <f ca="1"/>
        <v/>
      </c>
    </row>
    <row r="116" spans="2:2" x14ac:dyDescent="0.45">
      <c r="B116" s="14" t="str">
        <f ca="1"/>
        <v>ErrHandler:</v>
      </c>
    </row>
    <row r="117" spans="2:2" x14ac:dyDescent="0.45">
      <c r="B117" s="14" t="str">
        <f ca="1"/>
        <v xml:space="preserve">    Debug.Print "Warning: Registration of function JuliaInclude failed with error: " + Err.Description</v>
      </c>
    </row>
    <row r="118" spans="2:2" x14ac:dyDescent="0.45">
      <c r="B118" s="14" t="str">
        <f ca="1"/>
        <v>End Sub</v>
      </c>
    </row>
    <row r="119" spans="2:2" x14ac:dyDescent="0.45">
      <c r="B119" s="14"/>
    </row>
    <row r="120" spans="2:2" x14ac:dyDescent="0.45">
      <c r="B120" s="13" t="s">
        <v>52</v>
      </c>
    </row>
    <row r="121" spans="2:2" x14ac:dyDescent="0.45">
      <c r="B121" s="14" t="str" cm="1">
        <f t="array" aca="1" ref="B121:B131" ca="1">HelpForVBE(B7,C7,B9:B10,C9:C10)</f>
        <v>' -----------------------------------------------------------------------------------------------------------------------</v>
      </c>
    </row>
    <row r="122" spans="2:2" x14ac:dyDescent="0.45">
      <c r="B122" s="14" t="str">
        <f ca="1"/>
        <v>' Procedure : JuliaLaunch</v>
      </c>
    </row>
    <row r="123" spans="2:2" x14ac:dyDescent="0.45">
      <c r="B123" s="14" t="str">
        <f ca="1"/>
        <v>' Purpose   : Launches a Julia session on the local PC which "listens" to calls to JuliaEval,</v>
      </c>
    </row>
    <row r="124" spans="2:2" x14ac:dyDescent="0.45">
      <c r="B124" s="14" t="str">
        <f ca="1"/>
        <v>'             JuliaCall made in the current Excel session and responds to them</v>
      </c>
    </row>
    <row r="125" spans="2:2" x14ac:dyDescent="0.45">
      <c r="B125" s="14" t="str">
        <f ca="1"/>
        <v>' Arguments</v>
      </c>
    </row>
    <row r="126" spans="2:2" x14ac:dyDescent="0.45">
      <c r="B126" s="14" t="str">
        <f ca="1"/>
        <v>' MinimiseWindow: If TRUE, then the Julia session window is minimised, if FALSE (the default) then the</v>
      </c>
    </row>
    <row r="127" spans="2:2" x14ac:dyDescent="0.45">
      <c r="B127" s="14" t="str">
        <f ca="1"/>
        <v>'             window is normally sized.</v>
      </c>
    </row>
    <row r="128" spans="2:2" x14ac:dyDescent="0.45">
      <c r="B128" s="14" t="str">
        <f ca="1"/>
        <v>' JuliaExe  : The location of the julie.exe executable. If omitted, then the function searches for a copy of</v>
      </c>
    </row>
    <row r="129" spans="2:2" x14ac:dyDescent="0.45">
      <c r="B129" s="14" t="str">
        <f ca="1"/>
        <v>'             julia.exe, first on the path and then at the default locations to which the julia installer</v>
      </c>
    </row>
    <row r="130" spans="2:2" x14ac:dyDescent="0.45">
      <c r="B130" s="14" t="str">
        <f ca="1"/>
        <v>'             program writes.</v>
      </c>
    </row>
    <row r="131" spans="2:2" x14ac:dyDescent="0.45">
      <c r="B131" s="14" t="str">
        <f ca="1"/>
        <v>' -----------------------------------------------------------------------------------------------------------------------</v>
      </c>
    </row>
    <row r="132" spans="2:2" x14ac:dyDescent="0.45">
      <c r="B132" s="14"/>
    </row>
    <row r="133" spans="2:2" x14ac:dyDescent="0.45">
      <c r="B133" s="14" t="str" cm="1">
        <f t="array" aca="1" ref="B133:B139" ca="1">HelpForVBE(B13,C13,B15:B15,C15:C15)</f>
        <v>' -----------------------------------------------------------------------------------------------------------------------</v>
      </c>
    </row>
    <row r="134" spans="2:2" x14ac:dyDescent="0.45">
      <c r="B134" s="14" t="str">
        <f ca="1"/>
        <v>' Procedure : JuliaEval</v>
      </c>
    </row>
    <row r="135" spans="2:2" x14ac:dyDescent="0.45">
      <c r="B135" s="14" t="str">
        <f ca="1"/>
        <v>' Purpose   : Evaluate a Julia expression and return the value to Excel or VBA.</v>
      </c>
    </row>
    <row r="136" spans="2:2" x14ac:dyDescent="0.45">
      <c r="B136" s="14" t="str">
        <f ca="1"/>
        <v>' Arguments</v>
      </c>
    </row>
    <row r="137" spans="2:2" x14ac:dyDescent="0.45">
      <c r="B137" s="14" t="str">
        <f ca="1"/>
        <v>' JuliaExpression: Any valid julia code. See Remarks below for how variable types in Julia are converted to</v>
      </c>
    </row>
    <row r="138" spans="2:2" x14ac:dyDescent="0.45">
      <c r="B138" s="14" t="str">
        <f ca="1"/>
        <v>'             types that are supported in VBA and in Excel.</v>
      </c>
    </row>
    <row r="139" spans="2:2" x14ac:dyDescent="0.45">
      <c r="B139" s="14" t="str">
        <f ca="1"/>
        <v>' -----------------------------------------------------------------------------------------------------------------------</v>
      </c>
    </row>
    <row r="140" spans="2:2" x14ac:dyDescent="0.45">
      <c r="B140" s="14"/>
    </row>
    <row r="141" spans="2:2" x14ac:dyDescent="0.45">
      <c r="B141" s="14" t="str" cm="1">
        <f t="array" aca="1" ref="B141:B148" ca="1">HelpForVBE(B18,C18,B20:B21,C20:C21)</f>
        <v>' -----------------------------------------------------------------------------------------------------------------------</v>
      </c>
    </row>
    <row r="142" spans="2:2" x14ac:dyDescent="0.45">
      <c r="B142" s="14" t="str">
        <f ca="1"/>
        <v>' Procedure : JuliaCall</v>
      </c>
    </row>
    <row r="143" spans="2:2" x14ac:dyDescent="0.45">
      <c r="B143" s="14" t="str">
        <f ca="1"/>
        <v>' Purpose   : Call a named Julia function, passing in data from a spreadsheet or from VBA variables.</v>
      </c>
    </row>
    <row r="144" spans="2:2" x14ac:dyDescent="0.45">
      <c r="B144" s="14" t="str">
        <f ca="1"/>
        <v>' Arguments</v>
      </c>
    </row>
    <row r="145" spans="2:10" x14ac:dyDescent="0.45">
      <c r="B145" s="14" t="str">
        <f ca="1"/>
        <v>' JuliaFunction: The name of a Julia function that's available in the Main module of the running Julia</v>
      </c>
    </row>
    <row r="146" spans="2:10" x14ac:dyDescent="0.45">
      <c r="B146" s="14" t="str">
        <f ca="1"/>
        <v>'             session.</v>
      </c>
    </row>
    <row r="147" spans="2:10" x14ac:dyDescent="0.45">
      <c r="B147" s="14" t="str">
        <f ca="1"/>
        <v>' Args...   : Zero or more arguments, which may be Excel ranges or variables in VBA code.</v>
      </c>
    </row>
    <row r="148" spans="2:10" x14ac:dyDescent="0.45">
      <c r="B148" s="14" t="str">
        <f ca="1"/>
        <v>' -----------------------------------------------------------------------------------------------------------------------</v>
      </c>
      <c r="J148" s="14"/>
    </row>
    <row r="149" spans="2:10" x14ac:dyDescent="0.45">
      <c r="B149" s="14"/>
      <c r="J149" s="14"/>
    </row>
    <row r="150" spans="2:10" x14ac:dyDescent="0.45">
      <c r="B150" s="14"/>
      <c r="J150" s="14"/>
    </row>
    <row r="151" spans="2:10" x14ac:dyDescent="0.45">
      <c r="B151" s="14" t="str" cm="1">
        <f t="array" aca="1" ref="B151:B157" ca="1">HelpForVBE(B24,C24,B26:B26,C26:C26)</f>
        <v>' -----------------------------------------------------------------------------------------------------------------------</v>
      </c>
      <c r="J151" s="14"/>
    </row>
    <row r="152" spans="2:10" x14ac:dyDescent="0.45">
      <c r="B152" s="14" t="str">
        <f ca="1"/>
        <v>' Procedure : JuliaInclude</v>
      </c>
      <c r="J152" s="14"/>
    </row>
    <row r="153" spans="2:10" x14ac:dyDescent="0.45">
      <c r="B153" s="14" t="str">
        <f ca="1"/>
        <v>' Purpose   :</v>
      </c>
      <c r="J153" s="14"/>
    </row>
    <row r="154" spans="2:10" x14ac:dyDescent="0.45">
      <c r="B154" s="14" t="str">
        <f ca="1"/>
        <v>' Arguments</v>
      </c>
      <c r="J154" s="14"/>
    </row>
    <row r="155" spans="2:10" x14ac:dyDescent="0.45">
      <c r="B155" s="14" t="str">
        <f ca="1"/>
        <v>' FileName  : The location of the file to be included. Windows-style paths (with backslashes) are converted</v>
      </c>
      <c r="J155" s="14"/>
    </row>
    <row r="156" spans="2:10" x14ac:dyDescent="0.45">
      <c r="B156" s="14" t="str">
        <f ca="1"/>
        <v>'             to Unix style (forward slashes) before being passed to Julia.</v>
      </c>
      <c r="J156" s="14"/>
    </row>
    <row r="157" spans="2:10" x14ac:dyDescent="0.45">
      <c r="B157" s="14" t="str">
        <f ca="1"/>
        <v>' -----------------------------------------------------------------------------------------------------------------------</v>
      </c>
      <c r="J157" s="14"/>
    </row>
    <row r="158" spans="2:10" x14ac:dyDescent="0.45">
      <c r="B158" s="14"/>
    </row>
    <row r="159" spans="2:10" x14ac:dyDescent="0.45">
      <c r="B159" s="15" t="s">
        <v>8</v>
      </c>
    </row>
    <row r="160" spans="2:10" x14ac:dyDescent="0.45">
      <c r="B160" s="14" t="str" cm="1">
        <f t="array" aca="1" ref="B160:B169" ca="1">MarkdownHelp(SourceFile,B7,C7,B9:B10,C9:C10)</f>
        <v>#### _JuliaLaunch_</v>
      </c>
    </row>
    <row r="161" spans="2:2" x14ac:dyDescent="0.45">
      <c r="B161" s="14" t="str">
        <f ca="1"/>
        <v>Launches a Julia session on the local PC which "listens" to calls to `JuliaEval`, `JuliaCall` made in the current Excel session and responds to them</v>
      </c>
    </row>
    <row r="162" spans="2:2" x14ac:dyDescent="0.45">
      <c r="B162" s="14" t="str">
        <f ca="1"/>
        <v>```vba</v>
      </c>
    </row>
    <row r="163" spans="2:2" x14ac:dyDescent="0.45">
      <c r="B163" s="14" t="str">
        <f ca="1"/>
        <v>Function JuliaLaunch(Optional MinimiseWindow As Boolean, Optional ByVal JuliaExe As String)</v>
      </c>
    </row>
    <row r="164" spans="2:2" x14ac:dyDescent="0.45">
      <c r="B164" s="14" t="str">
        <f ca="1"/>
        <v>```</v>
      </c>
    </row>
    <row r="165" spans="2:2" x14ac:dyDescent="0.45">
      <c r="B165" s="14" t="str">
        <f ca="1"/>
        <v/>
      </c>
    </row>
    <row r="166" spans="2:2" x14ac:dyDescent="0.45">
      <c r="B166" s="14" t="str">
        <f ca="1"/>
        <v>|Argument|Description|</v>
      </c>
    </row>
    <row r="167" spans="2:2" x14ac:dyDescent="0.45">
      <c r="B167" s="14" t="str">
        <f ca="1"/>
        <v>|:-------|:----------|</v>
      </c>
    </row>
    <row r="168" spans="2:2" x14ac:dyDescent="0.45">
      <c r="B168" s="14" t="str">
        <f ca="1"/>
        <v>|`MinimiseWindow`|If TRUE, then the Julia session window is minimised, if FALSE (the default) then the window is normally sized.|</v>
      </c>
    </row>
    <row r="169" spans="2:2" x14ac:dyDescent="0.45">
      <c r="B169" s="14" t="str">
        <f ca="1"/>
        <v>|`JuliaExe`|The location of the julie.exe executable. If omitted, then the function searches for a copy of julia.exe, first on the path and then at the default locations to which the julia installer program writes.|</v>
      </c>
    </row>
    <row r="170" spans="2:2" x14ac:dyDescent="0.45">
      <c r="B170" s="14"/>
    </row>
    <row r="171" spans="2:2" x14ac:dyDescent="0.45">
      <c r="B171" s="14" t="str" cm="1">
        <f t="array" aca="1" ref="B171:B179" ca="1">MarkdownHelp(SourceFile,B13,C13,B15,C15)</f>
        <v>#### _JuliaEval_</v>
      </c>
    </row>
    <row r="172" spans="2:2" x14ac:dyDescent="0.45">
      <c r="B172" s="14" t="str">
        <f ca="1"/>
        <v>Evaluate a Julia expression and return the value to Excel or VBA.</v>
      </c>
    </row>
    <row r="173" spans="2:2" x14ac:dyDescent="0.45">
      <c r="B173" s="14" t="str">
        <f ca="1"/>
        <v>```vba</v>
      </c>
    </row>
    <row r="174" spans="2:2" x14ac:dyDescent="0.45">
      <c r="B174" s="14" t="str">
        <f ca="1"/>
        <v>Function JuliaEval(ByVal JuliaExpression As String)</v>
      </c>
    </row>
    <row r="175" spans="2:2" x14ac:dyDescent="0.45">
      <c r="B175" s="14" t="str">
        <f ca="1"/>
        <v>```</v>
      </c>
    </row>
    <row r="176" spans="2:2" x14ac:dyDescent="0.45">
      <c r="B176" s="14" t="str">
        <f ca="1"/>
        <v/>
      </c>
    </row>
    <row r="177" spans="2:2" x14ac:dyDescent="0.45">
      <c r="B177" s="14" t="str">
        <f ca="1"/>
        <v>|Argument|Description|</v>
      </c>
    </row>
    <row r="178" spans="2:2" x14ac:dyDescent="0.45">
      <c r="B178" s="14" t="str">
        <f ca="1"/>
        <v>|:-------|:----------|</v>
      </c>
    </row>
    <row r="179" spans="2:2" x14ac:dyDescent="0.45">
      <c r="B179" s="14" t="str">
        <f ca="1"/>
        <v>|`JuliaExpression`|Any valid julia code. See Remarks below for how variable types in Julia are converted to types that are supported in VBA and in Excel.|</v>
      </c>
    </row>
    <row r="180" spans="2:2" x14ac:dyDescent="0.45">
      <c r="B180" s="14"/>
    </row>
    <row r="181" spans="2:2" x14ac:dyDescent="0.45">
      <c r="B181" s="14" t="str" cm="1">
        <f t="array" aca="1" ref="B181:B190" ca="1">MarkdownHelp(SourceFile,B18,C18,B20:B21,C20:C21)</f>
        <v>#### _JuliaCall_</v>
      </c>
    </row>
    <row r="182" spans="2:2" x14ac:dyDescent="0.45">
      <c r="B182" s="14" t="str">
        <f ca="1"/>
        <v>Call a named Julia function, passing in data from a spreadsheet or from VBA variables.</v>
      </c>
    </row>
    <row r="183" spans="2:2" x14ac:dyDescent="0.45">
      <c r="B183" s="14" t="str">
        <f ca="1"/>
        <v>```vba</v>
      </c>
    </row>
    <row r="184" spans="2:2" x14ac:dyDescent="0.45">
      <c r="B184" s="14" t="str">
        <f ca="1"/>
        <v>Function JuliaCall(JuliaFunction As String, ParamArray Args()</v>
      </c>
    </row>
    <row r="185" spans="2:2" x14ac:dyDescent="0.45">
      <c r="B185" s="14" t="str">
        <f ca="1"/>
        <v>```</v>
      </c>
    </row>
    <row r="186" spans="2:2" x14ac:dyDescent="0.45">
      <c r="B186" s="14" t="str">
        <f ca="1"/>
        <v/>
      </c>
    </row>
    <row r="187" spans="2:2" x14ac:dyDescent="0.45">
      <c r="B187" s="14" t="str">
        <f ca="1"/>
        <v>|Argument|Description|</v>
      </c>
    </row>
    <row r="188" spans="2:2" x14ac:dyDescent="0.45">
      <c r="B188" s="14" t="str">
        <f ca="1"/>
        <v>|:-------|:----------|</v>
      </c>
    </row>
    <row r="189" spans="2:2" x14ac:dyDescent="0.45">
      <c r="B189" s="14" t="str">
        <f ca="1"/>
        <v>|`JuliaFunction`|The name of a Julia function that's available in the Main module of the running Julia session.|</v>
      </c>
    </row>
    <row r="190" spans="2:2" x14ac:dyDescent="0.45">
      <c r="B190" s="14" t="str">
        <f ca="1"/>
        <v>|`Args...`|Zero or more arguments, which may be Excel ranges or variables in VBA code.|</v>
      </c>
    </row>
    <row r="191" spans="2:2" x14ac:dyDescent="0.45">
      <c r="B191" s="14"/>
    </row>
    <row r="192" spans="2:2" x14ac:dyDescent="0.45">
      <c r="B192" s="14" t="str" cm="1">
        <f t="array" aca="1" ref="B192:B200" ca="1">MarkdownHelp(SourceFile,B24,C24,B26,C26)</f>
        <v>#### _JuliaInclude_</v>
      </c>
    </row>
    <row r="193" spans="2:2" x14ac:dyDescent="0.45">
      <c r="B193" s="14" t="str">
        <f ca="1"/>
        <v/>
      </c>
    </row>
    <row r="194" spans="2:2" x14ac:dyDescent="0.45">
      <c r="B194" s="14" t="str">
        <f ca="1"/>
        <v>```vba</v>
      </c>
    </row>
    <row r="195" spans="2:2" x14ac:dyDescent="0.45">
      <c r="B195" s="14" t="str">
        <f ca="1"/>
        <v>Function JuliaInclude(FileName As String)</v>
      </c>
    </row>
    <row r="196" spans="2:2" x14ac:dyDescent="0.45">
      <c r="B196" s="14" t="str">
        <f ca="1"/>
        <v>```</v>
      </c>
    </row>
    <row r="197" spans="2:2" x14ac:dyDescent="0.45">
      <c r="B197" s="14" t="str">
        <f ca="1"/>
        <v/>
      </c>
    </row>
    <row r="198" spans="2:2" x14ac:dyDescent="0.45">
      <c r="B198" s="14" t="str">
        <f ca="1"/>
        <v>|Argument|Description|</v>
      </c>
    </row>
    <row r="199" spans="2:2" x14ac:dyDescent="0.45">
      <c r="B199" s="14" t="str">
        <f ca="1"/>
        <v>|:-------|:----------|</v>
      </c>
    </row>
    <row r="200" spans="2:2" x14ac:dyDescent="0.45">
      <c r="B200" s="14" t="str">
        <f ca="1"/>
        <v>|`FileName`|The location of the file to be included. Windows-style paths (with backslashes) are converted to Unix style (forward slashes) before being passed to Julia.|</v>
      </c>
    </row>
    <row r="201" spans="2:2" x14ac:dyDescent="0.45">
      <c r="B201" s="14"/>
    </row>
    <row r="202" spans="2:2" x14ac:dyDescent="0.45">
      <c r="B202" s="14"/>
    </row>
    <row r="203" spans="2:2" x14ac:dyDescent="0.45">
      <c r="B203" s="14"/>
    </row>
    <row r="204" spans="2:2" x14ac:dyDescent="0.45">
      <c r="B204" s="14"/>
    </row>
    <row r="205" spans="2:2" x14ac:dyDescent="0.45">
      <c r="B205" s="14"/>
    </row>
    <row r="206" spans="2:2" x14ac:dyDescent="0.45">
      <c r="B206" s="14"/>
    </row>
    <row r="207" spans="2:2" x14ac:dyDescent="0.45">
      <c r="B207" s="14"/>
    </row>
    <row r="208" spans="2:2" x14ac:dyDescent="0.45">
      <c r="B208" s="14"/>
    </row>
    <row r="209" spans="2:2" x14ac:dyDescent="0.45">
      <c r="B209" s="14"/>
    </row>
    <row r="210" spans="2:2" x14ac:dyDescent="0.45">
      <c r="B210" s="14"/>
    </row>
    <row r="211" spans="2:2" x14ac:dyDescent="0.45">
      <c r="B211" s="14"/>
    </row>
    <row r="212" spans="2:2" x14ac:dyDescent="0.45">
      <c r="B212" s="14"/>
    </row>
    <row r="213" spans="2:2" x14ac:dyDescent="0.45">
      <c r="B213" s="14"/>
    </row>
    <row r="214" spans="2:2" x14ac:dyDescent="0.45">
      <c r="B214" s="14"/>
    </row>
    <row r="215" spans="2:2" x14ac:dyDescent="0.45">
      <c r="B215" s="14"/>
    </row>
    <row r="216" spans="2:2" x14ac:dyDescent="0.45">
      <c r="B216" s="14"/>
    </row>
    <row r="217" spans="2:2" x14ac:dyDescent="0.45">
      <c r="B217" s="14"/>
    </row>
    <row r="218" spans="2:2" x14ac:dyDescent="0.45">
      <c r="B218" s="14"/>
    </row>
    <row r="219" spans="2:2" x14ac:dyDescent="0.45">
      <c r="B219" s="14"/>
    </row>
    <row r="220" spans="2:2" x14ac:dyDescent="0.45">
      <c r="B220" s="14"/>
    </row>
    <row r="221" spans="2:2" x14ac:dyDescent="0.45">
      <c r="B221" s="14"/>
    </row>
    <row r="222" spans="2:2" x14ac:dyDescent="0.45">
      <c r="B222" s="14"/>
    </row>
    <row r="223" spans="2:2" x14ac:dyDescent="0.45">
      <c r="B223" s="14"/>
    </row>
    <row r="224" spans="2:2" x14ac:dyDescent="0.45">
      <c r="B224" s="14"/>
    </row>
    <row r="225" spans="2:2" x14ac:dyDescent="0.45">
      <c r="B225" s="14"/>
    </row>
    <row r="226" spans="2:2" x14ac:dyDescent="0.45">
      <c r="B226" s="14"/>
    </row>
    <row r="227" spans="2:2" x14ac:dyDescent="0.45">
      <c r="B227" s="14"/>
    </row>
    <row r="228" spans="2:2" x14ac:dyDescent="0.45">
      <c r="B228" s="14"/>
    </row>
    <row r="229" spans="2:2" x14ac:dyDescent="0.45">
      <c r="B229" s="14"/>
    </row>
    <row r="230" spans="2:2" x14ac:dyDescent="0.45">
      <c r="B230" s="14"/>
    </row>
    <row r="231" spans="2:2" x14ac:dyDescent="0.45">
      <c r="B231" s="14"/>
    </row>
    <row r="232" spans="2:2" x14ac:dyDescent="0.45">
      <c r="B232" s="14"/>
    </row>
    <row r="233" spans="2:2" x14ac:dyDescent="0.45">
      <c r="B233" s="14"/>
    </row>
    <row r="234" spans="2:2" x14ac:dyDescent="0.45">
      <c r="B234" s="14"/>
    </row>
    <row r="235" spans="2:2" x14ac:dyDescent="0.45">
      <c r="B235" s="14"/>
    </row>
    <row r="236" spans="2:2" x14ac:dyDescent="0.45">
      <c r="B236" s="14"/>
    </row>
    <row r="237" spans="2:2" x14ac:dyDescent="0.45">
      <c r="B237" s="14"/>
    </row>
    <row r="238" spans="2:2" x14ac:dyDescent="0.45">
      <c r="B238" s="14"/>
    </row>
    <row r="239" spans="2:2" x14ac:dyDescent="0.45">
      <c r="B239" s="14"/>
    </row>
    <row r="265" spans="2:2" x14ac:dyDescent="0.45">
      <c r="B265" s="14"/>
    </row>
    <row r="266" spans="2:2" x14ac:dyDescent="0.45">
      <c r="B266" s="14"/>
    </row>
    <row r="267" spans="2:2" x14ac:dyDescent="0.45">
      <c r="B267" s="14"/>
    </row>
    <row r="268" spans="2:2" x14ac:dyDescent="0.45">
      <c r="B268" s="14"/>
    </row>
    <row r="269" spans="2:2" x14ac:dyDescent="0.45">
      <c r="B269" s="14"/>
    </row>
    <row r="270" spans="2:2" x14ac:dyDescent="0.45">
      <c r="B270" s="14"/>
    </row>
    <row r="271" spans="2:2" x14ac:dyDescent="0.45">
      <c r="B271" s="14"/>
    </row>
    <row r="272" spans="2:2" x14ac:dyDescent="0.45">
      <c r="B272" s="14"/>
    </row>
    <row r="273" spans="2:2" x14ac:dyDescent="0.45">
      <c r="B273" s="14"/>
    </row>
    <row r="274" spans="2:2" x14ac:dyDescent="0.45">
      <c r="B274" s="14"/>
    </row>
    <row r="275" spans="2:2" x14ac:dyDescent="0.45">
      <c r="B275" s="14"/>
    </row>
    <row r="276" spans="2:2" x14ac:dyDescent="0.45">
      <c r="B276" s="14"/>
    </row>
    <row r="277" spans="2:2" x14ac:dyDescent="0.45">
      <c r="B277" s="14"/>
    </row>
    <row r="278" spans="2:2" x14ac:dyDescent="0.45">
      <c r="B278" s="14"/>
    </row>
    <row r="279" spans="2:2" x14ac:dyDescent="0.45">
      <c r="B279" s="14"/>
    </row>
    <row r="280" spans="2:2" x14ac:dyDescent="0.45">
      <c r="B280" s="14"/>
    </row>
    <row r="281" spans="2:2" x14ac:dyDescent="0.45">
      <c r="B281" s="14"/>
    </row>
    <row r="282" spans="2:2" x14ac:dyDescent="0.45">
      <c r="B282" s="14"/>
    </row>
    <row r="283" spans="2:2" x14ac:dyDescent="0.45">
      <c r="B283" s="14"/>
    </row>
    <row r="284" spans="2:2" x14ac:dyDescent="0.45">
      <c r="B284" s="14"/>
    </row>
    <row r="285" spans="2:2" x14ac:dyDescent="0.45">
      <c r="B285" s="14"/>
    </row>
  </sheetData>
  <sheetProtection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C202F-415E-4639-9ED3-1B79D752DCD9}">
  <sheetPr codeName="shAudit"/>
  <dimension ref="B1:F18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6" ht="28.5" x14ac:dyDescent="0.85">
      <c r="B1" s="17" t="s">
        <v>9</v>
      </c>
    </row>
    <row r="5" spans="2:6" x14ac:dyDescent="0.45">
      <c r="B5" s="18" t="s">
        <v>10</v>
      </c>
      <c r="C5" s="22" t="s">
        <v>11</v>
      </c>
      <c r="D5" s="33" t="s">
        <v>12</v>
      </c>
      <c r="E5" s="19" t="s">
        <v>13</v>
      </c>
      <c r="F5" s="24" t="s">
        <v>14</v>
      </c>
    </row>
    <row r="6" spans="2:6" x14ac:dyDescent="0.45">
      <c r="B6" s="32">
        <v>13</v>
      </c>
      <c r="C6" s="28">
        <v>44484</v>
      </c>
      <c r="D6" s="34">
        <v>0.83906250000291038</v>
      </c>
      <c r="E6" s="29" t="s">
        <v>15</v>
      </c>
      <c r="F6" s="30" t="s">
        <v>30</v>
      </c>
    </row>
    <row r="7" spans="2:6" x14ac:dyDescent="0.45">
      <c r="B7" s="31">
        <v>12</v>
      </c>
      <c r="C7" s="28">
        <v>44482</v>
      </c>
      <c r="D7" s="34">
        <v>0.53171296296204673</v>
      </c>
      <c r="E7" s="29" t="s">
        <v>15</v>
      </c>
      <c r="F7" s="30" t="s">
        <v>29</v>
      </c>
    </row>
    <row r="8" spans="2:6" x14ac:dyDescent="0.45">
      <c r="B8" s="31">
        <v>11</v>
      </c>
      <c r="C8" s="28">
        <v>44481</v>
      </c>
      <c r="D8" s="34">
        <v>0.52262731481459923</v>
      </c>
      <c r="E8" s="29" t="s">
        <v>15</v>
      </c>
      <c r="F8" s="30" t="s">
        <v>28</v>
      </c>
    </row>
    <row r="9" spans="2:6" x14ac:dyDescent="0.45">
      <c r="B9" s="31">
        <v>10</v>
      </c>
      <c r="C9" s="28">
        <v>44469</v>
      </c>
      <c r="D9" s="34">
        <v>0.71196759259328246</v>
      </c>
      <c r="E9" s="29" t="s">
        <v>15</v>
      </c>
      <c r="F9" s="30" t="s">
        <v>27</v>
      </c>
    </row>
    <row r="10" spans="2:6" x14ac:dyDescent="0.45">
      <c r="B10" s="31">
        <v>9</v>
      </c>
      <c r="C10" s="28">
        <v>44468</v>
      </c>
      <c r="D10" s="34">
        <v>0.83050925925635966</v>
      </c>
      <c r="E10" s="29" t="s">
        <v>15</v>
      </c>
      <c r="F10" s="30" t="s">
        <v>27</v>
      </c>
    </row>
    <row r="11" spans="2:6" x14ac:dyDescent="0.45">
      <c r="B11" s="31">
        <v>8</v>
      </c>
      <c r="C11" s="28">
        <v>44466</v>
      </c>
      <c r="D11" s="34">
        <v>0.80711805555620231</v>
      </c>
      <c r="E11" s="29" t="s">
        <v>15</v>
      </c>
      <c r="F11" s="30" t="s">
        <v>26</v>
      </c>
    </row>
    <row r="12" spans="2:6" x14ac:dyDescent="0.45">
      <c r="B12" s="31">
        <v>7</v>
      </c>
      <c r="C12" s="28">
        <v>44462</v>
      </c>
      <c r="D12" s="34">
        <v>0.55222222222073469</v>
      </c>
      <c r="E12" s="29" t="s">
        <v>15</v>
      </c>
      <c r="F12" s="30" t="s">
        <v>25</v>
      </c>
    </row>
    <row r="13" spans="2:6" x14ac:dyDescent="0.45">
      <c r="B13" s="31">
        <v>6</v>
      </c>
      <c r="C13" s="28">
        <v>44459</v>
      </c>
      <c r="D13" s="34">
        <v>0.61313657407299615</v>
      </c>
      <c r="E13" s="29" t="s">
        <v>15</v>
      </c>
      <c r="F13" s="30" t="s">
        <v>24</v>
      </c>
    </row>
    <row r="14" spans="2:6" x14ac:dyDescent="0.45">
      <c r="B14" s="31">
        <v>5</v>
      </c>
      <c r="C14" s="28">
        <v>44448</v>
      </c>
      <c r="D14" s="34">
        <v>0.35343750000174623</v>
      </c>
      <c r="E14" s="29" t="s">
        <v>15</v>
      </c>
      <c r="F14" s="30" t="s">
        <v>24</v>
      </c>
    </row>
    <row r="15" spans="2:6" x14ac:dyDescent="0.45">
      <c r="B15" s="31">
        <v>4</v>
      </c>
      <c r="C15" s="28">
        <v>44447</v>
      </c>
      <c r="D15" s="34">
        <v>0.78216435185458977</v>
      </c>
      <c r="E15" s="29" t="s">
        <v>15</v>
      </c>
      <c r="F15" s="30" t="s">
        <v>24</v>
      </c>
    </row>
    <row r="16" spans="2:6" x14ac:dyDescent="0.45">
      <c r="B16" s="31">
        <v>3</v>
      </c>
      <c r="C16" s="28">
        <v>44445</v>
      </c>
      <c r="D16" s="34">
        <v>0.60179398148466134</v>
      </c>
      <c r="E16" s="29" t="s">
        <v>15</v>
      </c>
      <c r="F16" s="30" t="s">
        <v>23</v>
      </c>
    </row>
    <row r="17" spans="2:6" x14ac:dyDescent="0.45">
      <c r="B17" s="31">
        <v>2</v>
      </c>
      <c r="C17" s="28">
        <v>44444</v>
      </c>
      <c r="D17" s="34">
        <v>0.328229166669189</v>
      </c>
      <c r="E17" s="29" t="s">
        <v>15</v>
      </c>
      <c r="F17" s="30" t="s">
        <v>22</v>
      </c>
    </row>
    <row r="18" spans="2:6" x14ac:dyDescent="0.45">
      <c r="B18" s="20">
        <v>1</v>
      </c>
      <c r="C18" s="23">
        <v>44423</v>
      </c>
      <c r="D18" s="35">
        <v>0.562395833330811</v>
      </c>
      <c r="E18" s="21" t="s">
        <v>15</v>
      </c>
      <c r="F18" s="25" t="s">
        <v>16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Help</vt:lpstr>
      <vt:lpstr>Audit</vt:lpstr>
      <vt:lpstr>CSVReadArgs</vt:lpstr>
      <vt:lpstr>Audit!Headers</vt:lpstr>
      <vt:lpstr>SourceFile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2021-08-15T11:07:56Z</dcterms:created>
  <dcterms:modified xsi:type="dcterms:W3CDTF">2021-11-04T07:53:02Z</dcterms:modified>
</cp:coreProperties>
</file>