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00543249-9062-4DAD-A591-2BC11D91589B}" xr6:coauthVersionLast="47" xr6:coauthVersionMax="47" xr10:uidLastSave="{00000000-0000-0000-0000-000000000000}"/>
  <bookViews>
    <workbookView xWindow="68632" yWindow="1058" windowWidth="18225" windowHeight="19057" xr2:uid="{E298BE9E-3C0E-4DB3-8695-75DEE41EB42D}"/>
  </bookViews>
  <sheets>
    <sheet name="Sheet1" sheetId="1" r:id="rId1"/>
    <sheet name="Audit" sheetId="2" r:id="rId2"/>
  </sheets>
  <externalReferences>
    <externalReference r:id="rId3"/>
    <externalReference r:id="rId4"/>
  </externalReferences>
  <definedNames>
    <definedName name="Headers" localSheetId="1">Audit!$B$5:$F$5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" l="1"/>
  <c r="B36" i="1" a="1"/>
  <c r="B36" i="1"/>
  <c r="B29" i="1"/>
  <c r="B30" i="1" a="1"/>
  <c r="B30" i="1"/>
  <c r="B26" i="1"/>
  <c r="B27" i="1" a="1"/>
  <c r="B27" i="1"/>
  <c r="B23" i="1"/>
  <c r="B24" i="1" a="1"/>
  <c r="B24" i="1"/>
  <c r="B20" i="1"/>
  <c r="B21" i="1" a="1"/>
  <c r="B21" i="1"/>
  <c r="B14" i="1"/>
  <c r="B15" i="1" a="1"/>
  <c r="B15" i="1"/>
  <c r="B8" i="1"/>
  <c r="B9" i="1" a="1"/>
  <c r="B9" i="1"/>
  <c r="B5" i="1"/>
  <c r="B6" i="1" a="1"/>
  <c r="B6" i="1"/>
  <c r="B2" i="1"/>
  <c r="B3" i="1" a="1"/>
  <c r="B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<sst xmlns="http://schemas.openxmlformats.org/spreadsheetml/2006/main" count="18" uniqueCount="18">
  <si>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Audit</t>
  </si>
  <si>
    <t>Version</t>
  </si>
  <si>
    <t>Date</t>
  </si>
  <si>
    <t>Time</t>
  </si>
  <si>
    <t>Author</t>
  </si>
  <si>
    <t>Comment</t>
  </si>
  <si>
    <t>Philip Swannell</t>
  </si>
  <si>
    <t>Added code in change event to illustrate the contents of formulas entered.</t>
  </si>
  <si>
    <t>Demo</t>
  </si>
  <si>
    <t>JuliaLaunch:</t>
  </si>
  <si>
    <t>using LinearAlgebra</t>
  </si>
  <si>
    <t>x=(1:4).+(1:4)'+10I</t>
  </si>
  <si>
    <t>y=inv(x)</t>
  </si>
  <si>
    <t>typeof(y)</t>
  </si>
  <si>
    <t>y2</t>
  </si>
  <si>
    <t>y-y2</t>
  </si>
  <si>
    <t>*</t>
  </si>
  <si>
    <t>typeof(x)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</si>
</sst>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5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5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20" fontId="0" fillId="0" borderId="2" xfId="0" applyNumberFormat="1" applyBorder="1" applyAlignment="1">
      <alignment horizontal="left" vertical="center"/>
    </xf>
    <xf numFmtId="20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Julia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_IntelliSense_"/>
    </sheetNames>
    <definedNames>
      <definedName name="JuliaCall"/>
      <definedName name="JuliaEval"/>
      <definedName name="JuliaLaunch"/>
      <definedName name="JuliaSetVar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BA905-3B9A-498A-9E36-BDB975006A76}">
  <sheetPr codeName="Sheet1"/>
  <dimension ref="A1:E39"/>
  <sheetViews>
    <sheetView tabSelected="1" workbookViewId="0">
      <selection activeCell="B36" sqref="B36"/>
    </sheetView>
  </sheetViews>
  <sheetFormatPr defaultRowHeight="14.25" x14ac:dyDescent="0.45"/>
  <cols>
    <col min="1" max="1" width="16.265625" bestFit="1" customWidth="1"/>
    <col min="2" max="2" width="12.19921875" bestFit="1" customWidth="1"/>
  </cols>
  <sheetData>
    <row r="1" spans="1:5" ht="28.5" x14ac:dyDescent="0.85">
      <c r="A1" s="1" t="s">
        <v>8</v>
      </c>
    </row>
    <row r="2" spans="1:5" x14ac:dyDescent="0.45">
      <c r="B2" s="12" t="str">
        <f ca="1">"Formula at B3 is " &amp; _xlfn.FORMULATEXT(B3)</f>
        <v>Formula at B3 is =JuliaLaunch()</v>
      </c>
    </row>
    <row r="3" spans="1:5" x14ac:dyDescent="0.45">
      <c r="A3" t="s">
        <v>9</v>
      </c>
      <c r="B3" t="str" cm="1">
        <f t="array" aca="1" ref="B3" ca="1">[2]!JuliaLaunch()</f>
        <v>Julia is already running in window "Julia 1.6.3 PID 27536 serving Excel PID 24948"</v>
      </c>
    </row>
    <row r="5" spans="1:5" x14ac:dyDescent="0.45">
      <c r="B5" s="12" t="str">
        <f ca="1">"Formula at B6 is " &amp; _xlfn.FORMULATEXT(B6)</f>
        <v>Formula at B6 is =JuliaEval(A6)</v>
      </c>
    </row>
    <row r="6" spans="1:5" x14ac:dyDescent="0.45">
      <c r="A6" t="s">
        <v>10</v>
      </c>
      <c r="B6" cm="1">
        <f t="array" aca="1" ref="B6" ca="1">[2]!JuliaEval(A6)</f>
        <v>0</v>
      </c>
    </row>
    <row r="8" spans="1:5" x14ac:dyDescent="0.45">
      <c r="B8" s="12" t="str">
        <f ca="1">"Formula at B9 is " &amp; _xlfn.FORMULATEXT(B9)</f>
        <v>Formula at B9 is =JuliaEval(A9)</v>
      </c>
    </row>
    <row r="9" spans="1:5" x14ac:dyDescent="0.45">
      <c r="A9" t="s">
        <v>11</v>
      </c>
      <c r="B9" cm="1">
        <f t="array" aca="1" ref="B9:E12" ca="1">[2]!JuliaEval(A9)</f>
        <v>12</v>
      </c>
      <c r="C9">
        <f ca="1"/>
        <v>3</v>
      </c>
      <c r="D9">
        <f ca="1"/>
        <v>4</v>
      </c>
      <c r="E9">
        <f ca="1"/>
        <v>5</v>
      </c>
    </row>
    <row r="10" spans="1:5" x14ac:dyDescent="0.45">
      <c r="B10">
        <f ca="1"/>
        <v>3</v>
      </c>
      <c r="C10">
        <f ca="1"/>
        <v>14</v>
      </c>
      <c r="D10">
        <f ca="1"/>
        <v>5</v>
      </c>
      <c r="E10">
        <f ca="1"/>
        <v>6</v>
      </c>
    </row>
    <row r="11" spans="1:5" x14ac:dyDescent="0.45">
      <c r="B11">
        <f ca="1"/>
        <v>4</v>
      </c>
      <c r="C11">
        <f ca="1"/>
        <v>5</v>
      </c>
      <c r="D11">
        <f ca="1"/>
        <v>16</v>
      </c>
      <c r="E11">
        <f ca="1"/>
        <v>7</v>
      </c>
    </row>
    <row r="12" spans="1:5" x14ac:dyDescent="0.45">
      <c r="B12">
        <f ca="1"/>
        <v>5</v>
      </c>
      <c r="C12">
        <f ca="1"/>
        <v>6</v>
      </c>
      <c r="D12">
        <f ca="1"/>
        <v>7</v>
      </c>
      <c r="E12">
        <f ca="1"/>
        <v>18</v>
      </c>
    </row>
    <row r="14" spans="1:5" x14ac:dyDescent="0.45">
      <c r="B14" s="12" t="str">
        <f ca="1">"Formula at B15 is " &amp; _xlfn.FORMULATEXT(B15)</f>
        <v>Formula at B15 is =JuliaEval(A15)</v>
      </c>
    </row>
    <row r="15" spans="1:5" x14ac:dyDescent="0.45">
      <c r="A15" t="s">
        <v>12</v>
      </c>
      <c r="B15" cm="1">
        <f t="array" aca="1" ref="B15:E18" ca="1">[2]!JuliaEval(A15)</f>
        <v>9.7857142857142851E-2</v>
      </c>
      <c r="C15">
        <f ca="1"/>
        <v>-7.8571428571428577E-3</v>
      </c>
      <c r="D15">
        <f ca="1"/>
        <v>-1.3571428571428571E-2</v>
      </c>
      <c r="E15">
        <f ca="1"/>
        <v>-1.9285714285714285E-2</v>
      </c>
    </row>
    <row r="16" spans="1:5" x14ac:dyDescent="0.45">
      <c r="B16">
        <f ca="1"/>
        <v>-7.8571428571428594E-3</v>
      </c>
      <c r="C16">
        <f ca="1"/>
        <v>8.7857142857142856E-2</v>
      </c>
      <c r="D16">
        <f ca="1"/>
        <v>-1.6428571428571428E-2</v>
      </c>
      <c r="E16">
        <f ca="1"/>
        <v>-2.0714285714285713E-2</v>
      </c>
    </row>
    <row r="17" spans="1:5" x14ac:dyDescent="0.45">
      <c r="B17">
        <f ca="1"/>
        <v>-1.3571428571428573E-2</v>
      </c>
      <c r="C17">
        <f ca="1"/>
        <v>-1.6428571428571431E-2</v>
      </c>
      <c r="D17">
        <f ca="1"/>
        <v>8.0714285714285725E-2</v>
      </c>
      <c r="E17">
        <f ca="1"/>
        <v>-2.2142857142857145E-2</v>
      </c>
    </row>
    <row r="18" spans="1:5" x14ac:dyDescent="0.45">
      <c r="B18">
        <f ca="1"/>
        <v>-1.9285714285714285E-2</v>
      </c>
      <c r="C18">
        <f ca="1"/>
        <v>-2.0714285714285713E-2</v>
      </c>
      <c r="D18">
        <f ca="1"/>
        <v>-2.2142857142857145E-2</v>
      </c>
      <c r="E18">
        <f ca="1"/>
        <v>7.6428571428571429E-2</v>
      </c>
    </row>
    <row r="20" spans="1:5" x14ac:dyDescent="0.45">
      <c r="B20" s="12" t="str">
        <f ca="1">"Formula at B21 is " &amp; _xlfn.FORMULATEXT(B21)</f>
        <v>Formula at B21 is =JuliaEval(A21)</v>
      </c>
    </row>
    <row r="21" spans="1:5" x14ac:dyDescent="0.45">
      <c r="A21" t="s">
        <v>17</v>
      </c>
      <c r="B21" t="str" cm="1">
        <f t="array" aca="1" ref="B21" ca="1">[2]!JuliaEval(A21)</f>
        <v>Matrix{Int64} (alias for Array{Int64, 2})</v>
      </c>
    </row>
    <row r="23" spans="1:5" x14ac:dyDescent="0.45">
      <c r="B23" s="12" t="str">
        <f ca="1">"Formula at B24 is " &amp; _xlfn.FORMULATEXT(B24)</f>
        <v>Formula at B24 is =JuliaEval(A24)</v>
      </c>
    </row>
    <row r="24" spans="1:5" x14ac:dyDescent="0.45">
      <c r="A24" t="s">
        <v>13</v>
      </c>
      <c r="B24" t="str" cm="1">
        <f t="array" aca="1" ref="B24" ca="1">[2]!JuliaEval(A24)</f>
        <v>Matrix{Float64} (alias for Array{Float64, 2})</v>
      </c>
    </row>
    <row r="26" spans="1:5" x14ac:dyDescent="0.45">
      <c r="B26" s="12" t="str">
        <f ca="1">"Formula at B27 is " &amp; _xlfn.FORMULATEXT(B27)</f>
        <v>Formula at B27 is =JuliaSetVar(A27,B15#)</v>
      </c>
    </row>
    <row r="27" spans="1:5" x14ac:dyDescent="0.45">
      <c r="A27" t="s">
        <v>14</v>
      </c>
      <c r="B27" t="str" cm="1">
        <f t="array" aca="1" ref="B27" ca="1">[2]!JuliaSetVar(A27,_xlfn.ANCHORARRAY(B15))</f>
        <v>Set global variable `y2` to 4x4 Matrix{Float64}</v>
      </c>
    </row>
    <row r="29" spans="1:5" x14ac:dyDescent="0.45">
      <c r="B29" s="12" t="str">
        <f ca="1">"Formula at B30 is " &amp; _xlfn.FORMULATEXT(B30)</f>
        <v>Formula at B30 is =JuliaEval(A30)</v>
      </c>
    </row>
    <row r="30" spans="1:5" x14ac:dyDescent="0.45">
      <c r="A30" t="s">
        <v>15</v>
      </c>
      <c r="B30" cm="1">
        <f t="array" aca="1" ref="B30:E33" ca="1">[2]!JuliaEval(A30)</f>
        <v>-5.5511151231257827E-17</v>
      </c>
      <c r="C30">
        <f ca="1"/>
        <v>1.7347234759768071E-18</v>
      </c>
      <c r="D30">
        <f ca="1"/>
        <v>2.9490299091605721E-17</v>
      </c>
      <c r="E30">
        <f ca="1"/>
        <v>1.3877787807814457E-17</v>
      </c>
    </row>
    <row r="31" spans="1:5" x14ac:dyDescent="0.45">
      <c r="B31">
        <f ca="1"/>
        <v>0</v>
      </c>
      <c r="C31">
        <f ca="1"/>
        <v>-4.163336342344337E-17</v>
      </c>
      <c r="D31">
        <f ca="1"/>
        <v>-2.7755575615628914E-17</v>
      </c>
      <c r="E31">
        <f ca="1"/>
        <v>-1.3877787807814457E-17</v>
      </c>
    </row>
    <row r="32" spans="1:5" x14ac:dyDescent="0.45">
      <c r="B32">
        <f ca="1"/>
        <v>2.7755575615628914E-17</v>
      </c>
      <c r="C32">
        <f ca="1"/>
        <v>-3.1225022567582528E-17</v>
      </c>
      <c r="D32">
        <f ca="1"/>
        <v>2.7755575615628914E-17</v>
      </c>
      <c r="E32">
        <f ca="1"/>
        <v>-4.5102810375396984E-17</v>
      </c>
    </row>
    <row r="33" spans="1:5" x14ac:dyDescent="0.45">
      <c r="B33">
        <f ca="1"/>
        <v>1.3877787807814457E-17</v>
      </c>
      <c r="C33">
        <f ca="1"/>
        <v>-1.3877787807814457E-17</v>
      </c>
      <c r="D33">
        <f ca="1"/>
        <v>-4.5102810375396984E-17</v>
      </c>
      <c r="E33">
        <f ca="1"/>
        <v>2.7755575615628914E-17</v>
      </c>
    </row>
    <row r="35" spans="1:5" x14ac:dyDescent="0.45">
      <c r="B35" s="12" t="str">
        <f ca="1">"Formula at B36 is " &amp; _xlfn.FORMULATEXT(B36)</f>
        <v>Formula at B36 is =JuliaCall(A36,B9#,B15#)</v>
      </c>
    </row>
    <row r="36" spans="1:5" x14ac:dyDescent="0.45">
      <c r="A36" t="s">
        <v>16</v>
      </c>
      <c r="B36" cm="1">
        <f t="array" aca="1" ref="B36:E39" ca="1">[2]!JuliaCall(A36,_xlfn.ANCHORARRAY(B9),_xlfn.ANCHORARRAY(B15))</f>
        <v>1.0000000000000002</v>
      </c>
      <c r="C36">
        <f ca="1"/>
        <v>2.7755575615628914E-16</v>
      </c>
      <c r="D36">
        <f ca="1"/>
        <v>-1.214306433183765E-16</v>
      </c>
      <c r="E36">
        <f ca="1"/>
        <v>-1.1102230246251565E-16</v>
      </c>
    </row>
    <row r="37" spans="1:5" x14ac:dyDescent="0.45">
      <c r="B37">
        <f ca="1"/>
        <v>-1.3183898417423734E-16</v>
      </c>
      <c r="C37">
        <f ca="1"/>
        <v>1.0000000000000009</v>
      </c>
      <c r="D37">
        <f ca="1"/>
        <v>4.649058915617843E-16</v>
      </c>
      <c r="E37">
        <f ca="1"/>
        <v>2.2204460492503131E-16</v>
      </c>
    </row>
    <row r="38" spans="1:5" x14ac:dyDescent="0.45">
      <c r="B38">
        <f ca="1"/>
        <v>-3.8510861166685117E-16</v>
      </c>
      <c r="C38">
        <f ca="1"/>
        <v>7.3552275381416621E-16</v>
      </c>
      <c r="D38">
        <f ca="1"/>
        <v>1</v>
      </c>
      <c r="E38">
        <f ca="1"/>
        <v>5.5511151231257827E-16</v>
      </c>
    </row>
    <row r="39" spans="1:5" x14ac:dyDescent="0.45">
      <c r="B39">
        <f ca="1"/>
        <v>-1.7347234759768071E-16</v>
      </c>
      <c r="C39">
        <f ca="1"/>
        <v>6.9388939039072284E-16</v>
      </c>
      <c r="D39">
        <f ca="1"/>
        <v>6.7307270867900115E-16</v>
      </c>
      <c r="E39">
        <f ca="1"/>
        <v>0.99999999999999978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8C0B0-1FA7-4E62-BA23-F4CBAA82D312}">
  <sheetPr codeName="Sheet2"/>
  <dimension ref="B1:F6"/>
  <sheetViews>
    <sheetView showGridLines="0" showRowColHeaders="0" workbookViewId="0"/>
  </sheetViews>
  <sheetFormatPr defaultRowHeight="14.25" x14ac:dyDescent="0.45"/>
  <cols>
    <col min="1" max="1" width="2.3984375" customWidth="1"/>
    <col min="2" max="2" width="7.73046875" customWidth="1"/>
    <col min="3" max="3" width="11.86328125" customWidth="1"/>
    <col min="4" max="4" width="5.3984375" customWidth="1"/>
    <col min="5" max="5" width="14.73046875" customWidth="1"/>
    <col min="6" max="6" width="155.3984375" customWidth="1"/>
  </cols>
  <sheetData>
    <row r="1" spans="2:6" ht="28.5" x14ac:dyDescent="0.85">
      <c r="B1" s="1" t="s">
        <v>0</v>
      </c>
    </row>
    <row r="5" spans="2:6" x14ac:dyDescent="0.45">
      <c r="B5" s="2" t="s">
        <v>1</v>
      </c>
      <c r="C5" s="6" t="s">
        <v>2</v>
      </c>
      <c r="D5" s="8" t="s">
        <v>3</v>
      </c>
      <c r="E5" s="3" t="s">
        <v>4</v>
      </c>
      <c r="F5" s="10" t="s">
        <v>5</v>
      </c>
    </row>
    <row r="6" spans="2:6" x14ac:dyDescent="0.45">
      <c r="B6" s="4">
        <v>1</v>
      </c>
      <c r="C6" s="7">
        <v>44507</v>
      </c>
      <c r="D6" s="9">
        <v>0.79750000000058208</v>
      </c>
      <c r="E6" s="5" t="s">
        <v>6</v>
      </c>
      <c r="F6" s="11" t="s">
        <v>7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2021-11-07T16:04:16Z</dcterms:created>
  <dcterms:modified xsi:type="dcterms:W3CDTF">2021-11-16T20:25:15Z</dcterms:modified>
</cp:coreProperties>
</file>