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1A4E34FF-650D-4787-8F61-0B1D9AEA5CF1}" xr6:coauthVersionLast="47" xr6:coauthVersionMax="47" xr10:uidLastSave="{00000000-0000-0000-0000-000000000000}"/>
  <bookViews>
    <workbookView xWindow="-28210" yWindow="2470" windowWidth="28300" windowHeight="20090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  <definedName name="SolumFilteredRange" localSheetId="1" hidden="1">Audit!$B$6:$F$7</definedName>
    <definedName name="SolumFilters" localSheetId="1" hidden="1">Audit!$B$4:$F$4</definedName>
    <definedName name="SolumFiltersNumHeaderRows" localSheetId="1" hidden="1">1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1" l="1"/>
  <c r="B39" i="1" a="1"/>
  <c r="B39" i="1"/>
  <c r="B32" i="1"/>
  <c r="B33" i="1" a="1"/>
  <c r="B33" i="1"/>
  <c r="B29" i="1"/>
  <c r="B30" i="1" a="1"/>
  <c r="B30" i="1"/>
  <c r="B26" i="1"/>
  <c r="B27" i="1" a="1"/>
  <c r="B27" i="1"/>
  <c r="B23" i="1"/>
  <c r="B24" i="1" a="1"/>
  <c r="B24" i="1"/>
  <c r="B17" i="1"/>
  <c r="B18" i="1" a="1"/>
  <c r="B18" i="1"/>
  <c r="B11" i="1"/>
  <c r="B12" i="1" a="1"/>
  <c r="B12" i="1"/>
  <c r="B8" i="1"/>
  <c r="B9" i="1" a="1"/>
  <c r="B9" i="1"/>
  <c r="B5" i="1"/>
  <c r="B6" i="1" a="1"/>
  <c r="B6" i="1"/>
  <c r="B2" i="1"/>
  <c r="B3" i="1" a="1"/>
  <c r="B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<sst xmlns="http://schemas.openxmlformats.org/spreadsheetml/2006/main" count="27" uniqueCount="24">
  <si>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</si>
  <si>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</si>
  <si>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</si>
  <si>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</si>
  <si>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</si>
  <si>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</si>
  <si>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</si>
  <si>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</si>
  <si>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Demo</t>
  </si>
  <si>
    <t>JuliaLaunch:</t>
  </si>
  <si>
    <t>using LinearAlgebra</t>
  </si>
  <si>
    <t>x=(1:4).+(1:4)'+10I</t>
  </si>
  <si>
    <t>y=inv(x)</t>
  </si>
  <si>
    <t>typeof(y)</t>
  </si>
  <si>
    <t>y2</t>
  </si>
  <si>
    <t>y-y2</t>
  </si>
  <si>
    <t>*</t>
  </si>
  <si>
    <t>typeof(x)</t>
  </si>
  <si>
    <t>Call display_results</t>
  </si>
  <si>
    <t>Dbl-click</t>
  </si>
  <si>
    <t>Double-click</t>
  </si>
  <si>
    <t>Double-click to filter</t>
  </si>
  <si>
    <t>All 2 rows shown.</t>
  </si>
  <si>
    <t>Updated to today's version of JuliaExcel.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</si>
</sst>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  <xf numFmtId="0" fontId="5" fillId="0" borderId="1" xfId="0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49" fontId="6" fillId="0" borderId="7" xfId="0" applyNumberFormat="1" applyFont="1" applyFill="1" applyBorder="1" applyAlignment="1" applyProtection="1">
      <alignment horizontal="center" vertical="center" shrinkToFit="1"/>
      <protection locked="0"/>
    </xf>
    <xf numFmtId="165" fontId="2" fillId="2" borderId="8" xfId="0" applyNumberFormat="1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 wrapText="1"/>
    </xf>
    <xf numFmtId="166" fontId="5" fillId="0" borderId="2" xfId="0" applyNumberFormat="1" applyFont="1" applyBorder="1" applyAlignment="1">
      <alignment horizontal="left" vertical="center"/>
    </xf>
    <xf numFmtId="166" fontId="2" fillId="2" borderId="9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9"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jects\JuliaExcel\workbooks\JuliaExcel.xlam" TargetMode="External"/><Relationship Id="rId1" Type="http://schemas.openxmlformats.org/officeDocument/2006/relationships/externalLinkPath" Target="JuliaExcel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Data\Solum\Addins\SolumAddin.xlam" TargetMode="External"/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_IntelliSense_"/>
    </sheetNames>
    <definedNames>
      <definedName name="JuliaCall"/>
      <definedName name="JuliaEval"/>
      <definedName name="JuliaLaunch"/>
      <definedName name="JuliaSetVar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Help"/>
      <sheetName val="ReleasesPerMonth"/>
      <sheetName val="ToDo"/>
      <sheetName val="_IntelliSense_"/>
      <sheetName val="SAIStaticData"/>
      <sheetName val="Unicode"/>
      <sheetName val="PersistentData"/>
      <sheetName val="ISDASIMM"/>
      <sheetName val="ISDASIMMIDs"/>
      <sheetName val="UndoBuffer"/>
      <sheetName val="UndoBuffer2"/>
      <sheetName val="Custom Icons"/>
      <sheetName val="EmptySheet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K42"/>
  <sheetViews>
    <sheetView tabSelected="1" workbookViewId="0"/>
  </sheetViews>
  <sheetFormatPr defaultRowHeight="14.4" x14ac:dyDescent="0.55000000000000004"/>
  <cols>
    <col min="1" max="1" width="16.26171875" bestFit="1" customWidth="1"/>
    <col min="2" max="2" width="12.20703125" bestFit="1" customWidth="1"/>
  </cols>
  <sheetData>
    <row r="1" spans="1:11" ht="28.2" x14ac:dyDescent="1.05">
      <c r="A1" s="1" t="s">
        <v>8</v>
      </c>
      <c r="B1" s="6"/>
    </row>
    <row r="2" spans="1:11" x14ac:dyDescent="0.55000000000000004">
      <c r="B2" s="6" t="str">
        <f ca="1">"Formula at B3 is " &amp; _xlfn.FORMULATEXT(B3)</f>
        <v>Formula at B3 is =JuliaLaunch()</v>
      </c>
    </row>
    <row r="3" spans="1:11" x14ac:dyDescent="0.55000000000000004">
      <c r="A3" t="s">
        <v>9</v>
      </c>
      <c r="B3" t="str" cm="1">
        <f t="array" aca="1" ref="B3" ca="1">[1]!JuliaLaunch()</f>
        <v>Julia is already running in window "Julia 1.13.0-rc3 on Windows serving Excel PID 57904, port 2700"</v>
      </c>
    </row>
    <row r="4" spans="1:11" x14ac:dyDescent="0.55000000000000004">
      <c r="B4" s="6"/>
    </row>
    <row r="5" spans="1:11" x14ac:dyDescent="0.55000000000000004">
      <c r="B5" s="6" t="str">
        <f ca="1">"Formula at B6 is " &amp; _xlfn.FORMULATEXT(B6)</f>
        <v>Formula at B6 is =JuliaCall("display_results",TRUE)</v>
      </c>
    </row>
    <row r="6" spans="1:11" x14ac:dyDescent="0.55000000000000004">
      <c r="A6" t="s">
        <v>18</v>
      </c>
      <c r="B6" t="str" cm="1">
        <f t="array" aca="1" ref="B6" ca="1">[1]!JuliaCall("display_results",TRUE)</f>
        <v>Results from JuliaCall/JuliaEval will display in REPL</v>
      </c>
    </row>
    <row r="7" spans="1:11" x14ac:dyDescent="0.55000000000000004">
      <c r="B7" s="6"/>
    </row>
    <row r="8" spans="1:11" x14ac:dyDescent="0.55000000000000004">
      <c r="B8" s="6" t="str">
        <f ca="1">"Formula at B9 is " &amp; _xlfn.FORMULATEXT(B9)</f>
        <v>Formula at B9 is =JuliaEval(A9)</v>
      </c>
      <c r="K8" s="6"/>
    </row>
    <row r="9" spans="1:11" x14ac:dyDescent="0.55000000000000004">
      <c r="A9" t="s">
        <v>10</v>
      </c>
      <c r="B9" cm="1">
        <f t="array" aca="1" ref="B9" ca="1">[1]!JuliaEval(A9)</f>
        <v>0</v>
      </c>
    </row>
    <row r="10" spans="1:11" x14ac:dyDescent="0.55000000000000004">
      <c r="B10" s="6"/>
    </row>
    <row r="11" spans="1:11" x14ac:dyDescent="0.55000000000000004">
      <c r="B11" s="6" t="str">
        <f ca="1">"Formula at B12 is " &amp; _xlfn.FORMULATEXT(B12)</f>
        <v>Formula at B12 is =JuliaEval(A12)</v>
      </c>
    </row>
    <row r="12" spans="1:11" x14ac:dyDescent="0.55000000000000004">
      <c r="A12" t="s">
        <v>11</v>
      </c>
      <c r="B12" cm="1">
        <f t="array" aca="1" ref="B12:E15" ca="1">[1]!JuliaEval(A12)</f>
        <v>12</v>
      </c>
      <c r="C12">
        <f ca="1"/>
        <v>3</v>
      </c>
      <c r="D12">
        <f ca="1"/>
        <v>4</v>
      </c>
      <c r="E12">
        <f ca="1"/>
        <v>5</v>
      </c>
    </row>
    <row r="13" spans="1:11" x14ac:dyDescent="0.55000000000000004">
      <c r="B13">
        <f ca="1"/>
        <v>3</v>
      </c>
      <c r="C13">
        <f ca="1"/>
        <v>14</v>
      </c>
      <c r="D13">
        <f ca="1"/>
        <v>5</v>
      </c>
      <c r="E13">
        <f ca="1"/>
        <v>6</v>
      </c>
    </row>
    <row r="14" spans="1:11" x14ac:dyDescent="0.55000000000000004">
      <c r="B14">
        <f ca="1"/>
        <v>4</v>
      </c>
      <c r="C14">
        <f ca="1"/>
        <v>5</v>
      </c>
      <c r="D14">
        <f ca="1"/>
        <v>16</v>
      </c>
      <c r="E14">
        <f ca="1"/>
        <v>7</v>
      </c>
    </row>
    <row r="15" spans="1:11" x14ac:dyDescent="0.55000000000000004">
      <c r="B15">
        <f ca="1"/>
        <v>5</v>
      </c>
      <c r="C15">
        <f ca="1"/>
        <v>6</v>
      </c>
      <c r="D15">
        <f ca="1"/>
        <v>7</v>
      </c>
      <c r="E15">
        <f ca="1"/>
        <v>18</v>
      </c>
    </row>
    <row r="16" spans="1:11" x14ac:dyDescent="0.55000000000000004">
      <c r="B16" s="6"/>
    </row>
    <row r="17" spans="1:5" x14ac:dyDescent="0.55000000000000004">
      <c r="B17" s="6" t="str">
        <f ca="1">"Formula at B18 is " &amp; _xlfn.FORMULATEXT(B18)</f>
        <v>Formula at B18 is =JuliaEval(A18)</v>
      </c>
    </row>
    <row r="18" spans="1:5" x14ac:dyDescent="0.55000000000000004">
      <c r="A18" t="s">
        <v>12</v>
      </c>
      <c r="B18" cm="1">
        <f t="array" aca="1" ref="B18:E21" ca="1">[1]!JuliaEval(A18)</f>
        <v>9.7857142857142851E-2</v>
      </c>
      <c r="C18">
        <f ca="1"/>
        <v>-7.8571428571428577E-3</v>
      </c>
      <c r="D18">
        <f ca="1"/>
        <v>-1.3571428571428571E-2</v>
      </c>
      <c r="E18">
        <f ca="1"/>
        <v>-1.9285714285714285E-2</v>
      </c>
    </row>
    <row r="19" spans="1:5" x14ac:dyDescent="0.55000000000000004">
      <c r="B19">
        <f ca="1"/>
        <v>-7.8571428571428594E-3</v>
      </c>
      <c r="C19">
        <f ca="1"/>
        <v>8.7857142857142856E-2</v>
      </c>
      <c r="D19">
        <f ca="1"/>
        <v>-1.6428571428571428E-2</v>
      </c>
      <c r="E19">
        <f ca="1"/>
        <v>-2.0714285714285713E-2</v>
      </c>
    </row>
    <row r="20" spans="1:5" x14ac:dyDescent="0.55000000000000004">
      <c r="B20">
        <f ca="1"/>
        <v>-1.3571428571428573E-2</v>
      </c>
      <c r="C20">
        <f ca="1"/>
        <v>-1.6428571428571431E-2</v>
      </c>
      <c r="D20">
        <f ca="1"/>
        <v>8.0714285714285725E-2</v>
      </c>
      <c r="E20">
        <f ca="1"/>
        <v>-2.2142857142857145E-2</v>
      </c>
    </row>
    <row r="21" spans="1:5" x14ac:dyDescent="0.55000000000000004">
      <c r="B21">
        <f ca="1"/>
        <v>-1.9285714285714285E-2</v>
      </c>
      <c r="C21">
        <f ca="1"/>
        <v>-2.0714285714285713E-2</v>
      </c>
      <c r="D21">
        <f ca="1"/>
        <v>-2.2142857142857145E-2</v>
      </c>
      <c r="E21">
        <f ca="1"/>
        <v>7.6428571428571429E-2</v>
      </c>
    </row>
    <row r="22" spans="1:5" x14ac:dyDescent="0.55000000000000004">
      <c r="B22" s="6"/>
    </row>
    <row r="23" spans="1:5" x14ac:dyDescent="0.55000000000000004">
      <c r="B23" s="6" t="str">
        <f ca="1">"Formula at B24 is " &amp; _xlfn.FORMULATEXT(B24)</f>
        <v>Formula at B24 is =JuliaEval(A24)</v>
      </c>
    </row>
    <row r="24" spans="1:5" x14ac:dyDescent="0.55000000000000004">
      <c r="A24" t="s">
        <v>17</v>
      </c>
      <c r="B24" t="str" cm="1">
        <f t="array" aca="1" ref="B24" ca="1">[1]!JuliaEval(A24)</f>
        <v>Matrix{Int64} (alias for Array{Int64, 2})</v>
      </c>
    </row>
    <row r="25" spans="1:5" x14ac:dyDescent="0.55000000000000004">
      <c r="B25" s="6"/>
    </row>
    <row r="26" spans="1:5" x14ac:dyDescent="0.55000000000000004">
      <c r="B26" s="6" t="str">
        <f ca="1">"Formula at B27 is " &amp; _xlfn.FORMULATEXT(B27)</f>
        <v>Formula at B27 is =JuliaEval(A27)</v>
      </c>
    </row>
    <row r="27" spans="1:5" x14ac:dyDescent="0.55000000000000004">
      <c r="A27" t="s">
        <v>13</v>
      </c>
      <c r="B27" t="str" cm="1">
        <f t="array" aca="1" ref="B27" ca="1">[1]!JuliaEval(A27)</f>
        <v>Matrix{Float64} (alias for Array{Float64, 2})</v>
      </c>
    </row>
    <row r="28" spans="1:5" x14ac:dyDescent="0.55000000000000004">
      <c r="B28" s="6"/>
    </row>
    <row r="29" spans="1:5" x14ac:dyDescent="0.55000000000000004">
      <c r="B29" s="6" t="str">
        <f ca="1">"Formula at B30 is " &amp; _xlfn.FORMULATEXT(B30)</f>
        <v>Formula at B30 is =JuliaSetVar(A30,B18#)</v>
      </c>
    </row>
    <row r="30" spans="1:5" x14ac:dyDescent="0.55000000000000004">
      <c r="A30" t="s">
        <v>14</v>
      </c>
      <c r="B30" t="str" cm="1">
        <f t="array" aca="1" ref="B30" ca="1">[1]!JuliaSetVar(A30,_xlfn.ANCHORARRAY(B18))</f>
        <v>Set global variable `y2` to 4x4 Matrix{Float64}</v>
      </c>
    </row>
    <row r="31" spans="1:5" x14ac:dyDescent="0.55000000000000004">
      <c r="B31" s="6"/>
    </row>
    <row r="32" spans="1:5" x14ac:dyDescent="0.55000000000000004">
      <c r="B32" s="6" t="str">
        <f ca="1">"Formula at B33 is " &amp; _xlfn.FORMULATEXT(B33)</f>
        <v>Formula at B33 is =JuliaEval(A33)</v>
      </c>
    </row>
    <row r="33" spans="1:5" x14ac:dyDescent="0.55000000000000004">
      <c r="A33" t="s">
        <v>15</v>
      </c>
      <c r="B33" cm="1">
        <f t="array" aca="1" ref="B33:E36" ca="1">[1]!JuliaEval(A33)</f>
        <v>0</v>
      </c>
      <c r="C33">
        <f ca="1"/>
        <v>0</v>
      </c>
      <c r="D33">
        <f ca="1"/>
        <v>0</v>
      </c>
      <c r="E33">
        <f ca="1"/>
        <v>0</v>
      </c>
    </row>
    <row r="34" spans="1:5" x14ac:dyDescent="0.55000000000000004">
      <c r="B34">
        <f ca="1"/>
        <v>0</v>
      </c>
      <c r="C34">
        <f ca="1"/>
        <v>0</v>
      </c>
      <c r="D34">
        <f ca="1"/>
        <v>0</v>
      </c>
      <c r="E34">
        <f ca="1"/>
        <v>0</v>
      </c>
    </row>
    <row r="35" spans="1:5" x14ac:dyDescent="0.55000000000000004">
      <c r="B35">
        <f ca="1"/>
        <v>0</v>
      </c>
      <c r="C35">
        <f ca="1"/>
        <v>0</v>
      </c>
      <c r="D35">
        <f ca="1"/>
        <v>0</v>
      </c>
      <c r="E35">
        <f ca="1"/>
        <v>0</v>
      </c>
    </row>
    <row r="36" spans="1:5" x14ac:dyDescent="0.55000000000000004">
      <c r="B36">
        <f ca="1"/>
        <v>0</v>
      </c>
      <c r="C36">
        <f ca="1"/>
        <v>0</v>
      </c>
      <c r="D36">
        <f ca="1"/>
        <v>0</v>
      </c>
      <c r="E36">
        <f ca="1"/>
        <v>0</v>
      </c>
    </row>
    <row r="37" spans="1:5" x14ac:dyDescent="0.55000000000000004">
      <c r="B37" s="6"/>
    </row>
    <row r="38" spans="1:5" x14ac:dyDescent="0.55000000000000004">
      <c r="B38" s="6" t="str">
        <f ca="1">"Formula at B39 is " &amp; _xlfn.FORMULATEXT(B39)</f>
        <v>Formula at B39 is =JuliaCall(A39,B12#,B18#)</v>
      </c>
    </row>
    <row r="39" spans="1:5" x14ac:dyDescent="0.55000000000000004">
      <c r="A39" t="s">
        <v>16</v>
      </c>
      <c r="B39" cm="1">
        <f t="array" aca="1" ref="B39:E42" ca="1">[1]!JuliaCall(A39,_xlfn.ANCHORARRAY(B12),_xlfn.ANCHORARRAY(B18))</f>
        <v>0.99999999999999989</v>
      </c>
      <c r="C39">
        <f ca="1"/>
        <v>-2.7755575615628914E-17</v>
      </c>
      <c r="D39">
        <f ca="1"/>
        <v>1.3877787807814457E-17</v>
      </c>
      <c r="E39">
        <f ca="1"/>
        <v>-2.7755575615628914E-17</v>
      </c>
    </row>
    <row r="40" spans="1:5" x14ac:dyDescent="0.55000000000000004">
      <c r="B40">
        <f ca="1"/>
        <v>-7.6327832942979512E-17</v>
      </c>
      <c r="C40">
        <f ca="1"/>
        <v>1</v>
      </c>
      <c r="D40">
        <f ca="1"/>
        <v>8.3266726846886741E-17</v>
      </c>
      <c r="E40">
        <f ca="1"/>
        <v>0</v>
      </c>
    </row>
    <row r="41" spans="1:5" x14ac:dyDescent="0.55000000000000004">
      <c r="B41">
        <f ca="1"/>
        <v>-6.591949208711867E-17</v>
      </c>
      <c r="C41">
        <f ca="1"/>
        <v>-2.7755575615628914E-17</v>
      </c>
      <c r="D41">
        <f ca="1"/>
        <v>1.0000000000000002</v>
      </c>
      <c r="E41">
        <f ca="1"/>
        <v>-2.7755575615628914E-17</v>
      </c>
    </row>
    <row r="42" spans="1:5" x14ac:dyDescent="0.55000000000000004">
      <c r="B42">
        <f ca="1"/>
        <v>-3.4694469519536142E-17</v>
      </c>
      <c r="C42">
        <f ca="1"/>
        <v>5.5511151231257827E-17</v>
      </c>
      <c r="D42">
        <f ca="1"/>
        <v>2.7755575615628914E-17</v>
      </c>
      <c r="E42">
        <f ca="1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7"/>
  <sheetViews>
    <sheetView showGridLines="0" showRowColHeaders="0" workbookViewId="0">
      <selection activeCell="F6" sqref="F6"/>
    </sheetView>
  </sheetViews>
  <sheetFormatPr defaultRowHeight="14.4" x14ac:dyDescent="0.55000000000000004"/>
  <cols>
    <col min="1" max="1" width="2.41796875" customWidth="1"/>
    <col min="2" max="2" width="7.734375" customWidth="1"/>
    <col min="3" max="3" width="11.83984375" customWidth="1"/>
    <col min="4" max="4" width="5.41796875" customWidth="1"/>
    <col min="5" max="5" width="14.734375" customWidth="1"/>
    <col min="6" max="6" width="155.41796875" customWidth="1"/>
  </cols>
  <sheetData>
    <row r="1" spans="2:6" ht="28.2" x14ac:dyDescent="1.05">
      <c r="B1" s="1" t="s">
        <v>0</v>
      </c>
    </row>
    <row r="3" spans="2:6" x14ac:dyDescent="0.55000000000000004">
      <c r="B3" t="s">
        <v>22</v>
      </c>
    </row>
    <row r="4" spans="2:6" x14ac:dyDescent="0.55000000000000004">
      <c r="B4" s="11" t="s">
        <v>19</v>
      </c>
      <c r="C4" s="11" t="s">
        <v>20</v>
      </c>
      <c r="D4" s="11" t="s">
        <v>19</v>
      </c>
      <c r="E4" s="11" t="s">
        <v>20</v>
      </c>
      <c r="F4" s="11" t="s">
        <v>21</v>
      </c>
    </row>
    <row r="5" spans="2:6" x14ac:dyDescent="0.55000000000000004">
      <c r="B5" s="7" t="s">
        <v>1</v>
      </c>
      <c r="C5" s="8" t="s">
        <v>2</v>
      </c>
      <c r="D5" s="16" t="s">
        <v>3</v>
      </c>
      <c r="E5" s="9" t="s">
        <v>4</v>
      </c>
      <c r="F5" s="10" t="s">
        <v>5</v>
      </c>
    </row>
    <row r="6" spans="2:6" x14ac:dyDescent="0.55000000000000004">
      <c r="B6" s="12">
        <v>2</v>
      </c>
      <c r="C6" s="13">
        <v>46256</v>
      </c>
      <c r="D6" s="17">
        <v>0.64129629629314877</v>
      </c>
      <c r="E6" s="14" t="s">
        <v>6</v>
      </c>
      <c r="F6" s="15" t="s">
        <v>23</v>
      </c>
    </row>
    <row r="7" spans="2:6" x14ac:dyDescent="0.55000000000000004">
      <c r="B7" s="2">
        <v>1</v>
      </c>
      <c r="C7" s="4">
        <v>44507</v>
      </c>
      <c r="D7" s="18">
        <v>0.79750000000058208</v>
      </c>
      <c r="E7" s="3" t="s">
        <v>6</v>
      </c>
      <c r="F7" s="5" t="s">
        <v>7</v>
      </c>
    </row>
  </sheetData>
  <conditionalFormatting sqref="B4:F4">
    <cfRule type="cellIs" dxfId="2" priority="1" operator="equal">
      <formula>"Double-click to filter"</formula>
    </cfRule>
    <cfRule type="cellIs" dxfId="1" priority="2" operator="equal">
      <formula>"Double-click"</formula>
    </cfRule>
    <cfRule type="cellIs" dxfId="0" priority="3" operator="equal">
      <formula>"Dbl-click"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2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2026-08-22T13:24:24Z</dcterms:modified>
</cp:coreProperties>
</file>