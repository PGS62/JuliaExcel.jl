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78FDC531-DDCF-4403-A687-B39988789006}" xr6:coauthVersionLast="47" xr6:coauthVersionMax="47" xr10:uidLastSave="{00000000-0000-0000-0000-000000000000}"/>
  <bookViews>
    <workbookView xWindow="-38510" yWindow="1480" windowWidth="38620" windowHeight="21100" xr2:uid="{511F627E-DBED-41A4-89E9-BA6E1C8BDF17}"/>
  </bookViews>
  <sheets>
    <sheet name="Main" sheetId="1" r:id="rId1"/>
    <sheet name="JuliaExcel" sheetId="4" r:id="rId2"/>
    <sheet name="JuliaInXL" sheetId="5" r:id="rId3"/>
    <sheet name="InputData" sheetId="3" r:id="rId4"/>
    <sheet name="Findings" sheetId="6" r:id="rId5"/>
    <sheet name="Audit" sheetId="2" r:id="rId6"/>
  </sheets>
  <functionGroups builtInGroupCount="19"/>
  <externalReferences>
    <externalReference r:id="rId7"/>
  </externalReferences>
  <definedNames>
    <definedName name="_xleta.AND" hidden="1" xlm="1">#NAME?</definedName>
    <definedName name="Headers" localSheetId="5">Audit!$B$5:$F$5</definedName>
    <definedName name="JuliaExcelLaunch" localSheetId="0">Main!$C$7</definedName>
    <definedName name="JuliaExcelProjectPath" localSheetId="0">Main!$C$6</definedName>
    <definedName name="JuliaExcelTestCell" localSheetId="0">Main!$C$8</definedName>
    <definedName name="JuliaInXLTestCell" localSheetId="0">Main!$C$9</definedName>
    <definedName name="LogBase2_MaxAbsDiff" localSheetId="0">Main!$C$15</definedName>
    <definedName name="MaximumAbsoluteDifference" localSheetId="0">Main!$C$14</definedName>
    <definedName name="Results_Identical?" localSheetId="0">Main!$C$13</definedName>
    <definedName name="SolumFilteredRange" localSheetId="5" hidden="1">Audit!$B$6:$F$7</definedName>
    <definedName name="SolumFilters" localSheetId="5" hidden="1">Audit!$B$4:$F$4</definedName>
    <definedName name="SolumFiltersNumHeaderRows" localSheetId="5" hidden="1">1</definedName>
    <definedName name="TestSpecWithHeaders" localSheetId="0">Main!$B$18:$J$23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1" l="1"/>
  <c r="C14" i="1" a="1"/>
  <c r="C14" i="1"/>
  <c r="C13" i="1" a="1"/>
  <c r="C13" i="1"/>
  <c r="C9" i="1" a="1"/>
  <c r="C9" i="1"/>
  <c r="C8" i="1" a="1"/>
  <c r="C8" i="1"/>
  <c r="C12" i="1" a="1"/>
  <c r="C7" i="1" a="1"/>
  <c r="C7" i="1" l="1"/>
  <c r="C12" i="1"/>
  <c r="C11" i="1" a="1"/>
  <c r="C10" i="1" a="1"/>
  <c r="C11" i="1" l="1"/>
  <c r="C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B6" authorId="0" shapeId="0" xr:uid="{CB70CFF5-BA92-41D8-BD04-C1FFAEC00DB6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Must match wherever JuliaExcel is Pkg.develop'd for this comparison - see JuliaLaunch's CommandLineOptions parameter. JuliaInXL lives in the default Julia environment, so JuliaExcel needs its own --project to avoid colliding with it.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<sst xmlns="http://schemas.openxmlformats.org/spreadsheetml/2006/main" count="65" uniqueCount="62">
  <si>
    <t>Audit</t>
  </si>
  <si>
    <t>Version</t>
  </si>
  <si>
    <t>Date</t>
  </si>
  <si>
    <t>Time</t>
  </si>
  <si>
    <t>Author</t>
  </si>
  <si>
    <t>Comment</t>
  </si>
  <si>
    <t>Philip Swannell</t>
  </si>
  <si>
    <t>Dbl-click</t>
  </si>
  <si>
    <t>Double-click</t>
  </si>
  <si>
    <t>Double-click to filter</t>
  </si>
  <si>
    <t>First version</t>
  </si>
  <si>
    <t>Description</t>
  </si>
  <si>
    <t>JuliaExcelFormula</t>
  </si>
  <si>
    <t>JuliaInXLFormula</t>
  </si>
  <si>
    <t>VectorLength</t>
  </si>
  <si>
    <t>NumCalls</t>
  </si>
  <si>
    <t>OneCallPerCell</t>
  </si>
  <si>
    <t>JuliaExcel (s)</t>
  </si>
  <si>
    <t>JuliaInXL (s)</t>
  </si>
  <si>
    <t>Latency</t>
  </si>
  <si>
    <t>=JuliaEval("1+1")</t>
  </si>
  <si>
    <t>=jleval("1+1")</t>
  </si>
  <si>
    <t>=JuliaCall("identity",InputData)</t>
  </si>
  <si>
    <t>{=jlcall("identity",InputData)}</t>
  </si>
  <si>
    <t>=JuliaCall("sum",InputData)</t>
  </si>
  <si>
    <t>=jlcall("sum",InputData)</t>
  </si>
  <si>
    <t>Transmit UnitRange to Excel</t>
  </si>
  <si>
    <t>Transmit Vector{Float64} to Excel</t>
  </si>
  <si>
    <t>Roundtrip Vector{Float64}</t>
  </si>
  <si>
    <t>Transmit Vector{Float64} to Julia</t>
  </si>
  <si>
    <t>JuliaExcel compared with JuliaInXL</t>
  </si>
  <si>
    <t>=JuliaEval("(1:VectorLength).^2")</t>
  </si>
  <si>
    <t>=JuliaEval("1:VectorLength")</t>
  </si>
  <si>
    <t>{=jleval("1:VectorLength")}</t>
  </si>
  <si>
    <t>{=jleval("(1:VectorLength).^2")}</t>
  </si>
  <si>
    <t>JuliaExcelTestCell</t>
  </si>
  <si>
    <t>JuliaInXLTestCell</t>
  </si>
  <si>
    <t>TestSpecWithHeaders</t>
  </si>
  <si>
    <t>c:/temp/juliaexcel</t>
  </si>
  <si>
    <t>Computer</t>
  </si>
  <si>
    <t>JuliaInXL / JuliaExcel</t>
  </si>
  <si>
    <t>JuliaExcelLaunch</t>
  </si>
  <si>
    <t>JuliaInXL running under Julia version</t>
  </si>
  <si>
    <t>JuliaExcel running under Julia version</t>
  </si>
  <si>
    <t>JuliaExcel project path</t>
  </si>
  <si>
    <t>MaximumAbsoluteDifference</t>
  </si>
  <si>
    <t>Findings</t>
  </si>
  <si>
    <t>Round-trip precision: JuliaExcel vs JuliaInXL</t>
  </si>
  <si>
    <t>Results Identical?</t>
  </si>
  <si>
    <t>LogBase2(MaxAbsDiff)</t>
  </si>
  <si>
    <t>All 2 rows shown.</t>
  </si>
  <si>
    <t>Added findings worksheet.</t>
  </si>
  <si>
    <t>When round-tripping a vector of 100,000 random numbers through Julia and back (JuliaCall("identity", ...) / jlcall("identity",</t>
  </si>
  <si>
    <t>...)), JuliaExcel's returned values matched the input exactly every time. JuliaInXL's did not: 17 of the 100,000 values (0.017%)</t>
  </si>
  <si>
    <t>came back slightly different.</t>
  </si>
  <si>
    <t>We can't confirm the exact mechanism, since JuliaInXL's Excel-side component is closed source, but a plausible contributor is</t>
  </si>
  <si>
    <t>that .NET's default double-to-text conversion used 15 significant digits before .NET Core 3.0 (2019) — a runtime old enough to</t>
  </si>
  <si>
    <t>plausibly predate JuliaInXL's own last update.</t>
  </si>
  <si>
    <t>Each difference is exactly a power of two, one ULP ("unit in the last place") at that value's magnitude — the most common</t>
  </si>
  <si>
    <t>being 2^-54. This pattern is the signature of numbers passing through a decimal-text representation with slightly too few</t>
  </si>
  <si>
    <t>significant digits: most doubles round-trip exactly with 15–16 digits, but a minority need the full 17, and a fixed-width format</t>
  </si>
  <si>
    <t>that provides only 15 would corrupt just that minority by a bit or two.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</si>
</sst>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92" formatCode="#,##0;[Red]\-#,##0"/>
    <numFmt numFmtId="193" formatCode="hh:mm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38" fontId="0" fillId="0" borderId="0" xfId="0" applyNumberFormat="1"/>
    <xf numFmtId="0" fontId="1" fillId="0" borderId="0" xfId="0" applyFo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38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left" vertical="center"/>
    </xf>
    <xf numFmtId="164" fontId="1" fillId="0" borderId="3" xfId="0" applyNumberFormat="1" applyFont="1" applyBorder="1" applyAlignment="1">
      <alignment horizontal="left" vertical="center"/>
    </xf>
    <xf numFmtId="164" fontId="3" fillId="2" borderId="6" xfId="0" applyNumberFormat="1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 wrapText="1"/>
    </xf>
    <xf numFmtId="0" fontId="3" fillId="2" borderId="7" xfId="0" quotePrefix="1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quotePrefix="1" applyFont="1"/>
    <xf numFmtId="0" fontId="0" fillId="0" borderId="0" xfId="0" applyFont="1"/>
    <xf numFmtId="0" fontId="1" fillId="0" borderId="0" xfId="0" quotePrefix="1" applyFont="1"/>
    <xf numFmtId="49" fontId="4" fillId="0" borderId="1" xfId="0" applyNumberFormat="1" applyFont="1" applyFill="1" applyBorder="1" applyAlignment="1" applyProtection="1">
      <alignment horizontal="center" vertical="center" shrinkToFit="1"/>
      <protection locked="0"/>
    </xf>
    <xf numFmtId="192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 wrapText="1"/>
    </xf>
    <xf numFmtId="193" fontId="1" fillId="0" borderId="3" xfId="0" applyNumberFormat="1" applyFont="1" applyBorder="1" applyAlignment="1">
      <alignment horizontal="left" vertical="center"/>
    </xf>
    <xf numFmtId="193" fontId="3" fillId="2" borderId="9" xfId="0" applyNumberFormat="1" applyFont="1" applyFill="1" applyBorder="1" applyAlignment="1">
      <alignment horizontal="left" vertical="center"/>
    </xf>
    <xf numFmtId="193" fontId="3" fillId="2" borderId="6" xfId="0" applyNumberFormat="1" applyFont="1" applyFill="1" applyBorder="1" applyAlignment="1">
      <alignment horizontal="left" vertical="center"/>
    </xf>
    <xf numFmtId="0" fontId="0" fillId="0" borderId="0" xfId="0" quotePrefix="1" applyFont="1" applyAlignment="1">
      <alignment horizontal="left"/>
    </xf>
  </cellXfs>
  <cellStyles count="1">
    <cellStyle name="Normal" xfId="0" builtinId="0"/>
  </cellStyles>
  <dxfs count="15"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rgb="FFFFC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Tests!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3</xdr:col>
          <xdr:colOff>1939290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Three Worksheets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0</xdr:row>
      <xdr:rowOff>52070</xdr:rowOff>
    </xdr:from>
    <xdr:to>
      <xdr:col>15</xdr:col>
      <xdr:colOff>273050</xdr:colOff>
      <xdr:row>15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A0CD6CB-2F9F-84F2-D8A8-3120E928511D}"/>
            </a:ext>
          </a:extLst>
        </xdr:cNvPr>
        <xdr:cNvSpPr txBox="1"/>
      </xdr:nvSpPr>
      <xdr:spPr>
        <a:xfrm>
          <a:off x="9785350" y="52070"/>
          <a:ext cx="5124450" cy="25514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Usage</a:t>
          </a:r>
        </a:p>
        <a:p>
          <a:pPr lvl="0"/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Install JuliaExcel and JuliaInXL into separate Julia environments — their compat entries collide otherwise. Suggested split: JuliaInXL in the default environment, JuliaExcel in a temporary one such as c:/temp/juliaexcel.</a:t>
          </a:r>
        </a:p>
        <a:p>
          <a:pPr lvl="0"/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On the JULIA ribbon tab, click </a:t>
          </a:r>
          <a:r>
            <a:rPr lang="en-GB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"Launch Local Julia"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to start JuliaInXL.</a:t>
          </a:r>
        </a:p>
        <a:p>
          <a:pPr lvl="0"/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Start JuliaExcel by re-entering the formula in cell JuliaExcelLaunch (select it, press F2, then Enter).</a:t>
          </a:r>
        </a:p>
        <a:p>
          <a:pPr lvl="0"/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Check that the named range TestSpecWithHeaders covers every test row you want to run.</a:t>
          </a:r>
        </a:p>
        <a:p>
          <a:pPr lvl="0"/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Click </a:t>
          </a:r>
          <a:r>
            <a:rPr lang="en-GB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"Run Tests!"</a:t>
          </a:r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Users/Public/JuliaExcel/JuliaExcel.xlam" TargetMode="External"/><Relationship Id="rId2" Type="http://schemas.openxmlformats.org/officeDocument/2006/relationships/externalLinkPath" Target="file:///C:\Users\Public\JuliaExcel\JuliaExcel.xlam" TargetMode="External"/><Relationship Id="rId1" Type="http://schemas.openxmlformats.org/officeDocument/2006/relationships/externalLinkPath" Target="/Users/Public/JuliaExcel/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udit"/>
      <sheetName val="_IntelliSense_"/>
    </sheetNames>
    <definedNames>
      <definedName name="JuliaEval"/>
      <definedName name="JuliaLaunch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27287-F2B3-49FB-A186-E5AA4A25EEF1}">
  <sheetPr codeName="shMain"/>
  <dimension ref="B1:J23"/>
  <sheetViews>
    <sheetView showGridLines="0" showRowColHeaders="0" tabSelected="1" workbookViewId="0"/>
  </sheetViews>
  <sheetFormatPr defaultRowHeight="14.4" x14ac:dyDescent="0.55000000000000004"/>
  <cols>
    <col min="1" max="1" width="2.578125" customWidth="1"/>
    <col min="2" max="2" width="29.41796875" bestFit="1" customWidth="1"/>
    <col min="3" max="3" width="11.68359375" bestFit="1" customWidth="1"/>
    <col min="4" max="4" width="28.734375" bestFit="1" customWidth="1"/>
    <col min="5" max="5" width="27.15625" bestFit="1" customWidth="1"/>
    <col min="6" max="6" width="8.734375" bestFit="1" customWidth="1"/>
    <col min="7" max="7" width="13.20703125" bestFit="1" customWidth="1"/>
    <col min="8" max="8" width="11.20703125" bestFit="1" customWidth="1"/>
    <col min="9" max="9" width="10.41796875" bestFit="1" customWidth="1"/>
    <col min="10" max="10" width="17.5234375" bestFit="1" customWidth="1"/>
  </cols>
  <sheetData>
    <row r="1" spans="2:3" ht="28.8" x14ac:dyDescent="1.1000000000000001">
      <c r="B1" s="1" t="s">
        <v>30</v>
      </c>
    </row>
    <row r="6" spans="2:3" x14ac:dyDescent="0.55000000000000004">
      <c r="B6" s="12" t="s">
        <v>44</v>
      </c>
      <c r="C6" s="14" t="s">
        <v>38</v>
      </c>
    </row>
    <row r="7" spans="2:3" x14ac:dyDescent="0.55000000000000004">
      <c r="B7" s="12" t="s">
        <v>41</v>
      </c>
      <c r="C7" s="14" t="str" cm="1">
        <f t="array" ref="C7">[1]!JuliaLaunch(,,"--project="&amp;JuliaExcelProjectPath)</f>
        <v>Julia is already running in window "Julia 1.13.0-rc3 on Windows serving Excel PID 4640, port 2701"</v>
      </c>
    </row>
    <row r="8" spans="2:3" x14ac:dyDescent="0.55000000000000004">
      <c r="B8" t="s">
        <v>35</v>
      </c>
      <c r="C8" s="14" cm="1">
        <f t="array" aca="1" ref="C8" ca="1">[1]!JuliaEval("1+1")</f>
        <v>2</v>
      </c>
    </row>
    <row r="9" spans="2:3" x14ac:dyDescent="0.55000000000000004">
      <c r="B9" t="s">
        <v>36</v>
      </c>
      <c r="C9" s="14" cm="1">
        <f t="array" aca="1" ref="C9" ca="1">_xll.jleval("1+1")</f>
        <v>2</v>
      </c>
    </row>
    <row r="10" spans="2:3" x14ac:dyDescent="0.55000000000000004">
      <c r="B10" s="12" t="s">
        <v>43</v>
      </c>
      <c r="C10" s="14" t="str" cm="1">
        <f t="array" ref="C10">[1]!JuliaEval("string(VERSION)")</f>
        <v>1.13.0-rc3</v>
      </c>
    </row>
    <row r="11" spans="2:3" x14ac:dyDescent="0.55000000000000004">
      <c r="B11" s="12" t="s">
        <v>42</v>
      </c>
      <c r="C11" s="14" t="str" cm="1">
        <f t="array" ref="C11">_xll.jleval("string(VERSION)")</f>
        <v>1.12.5</v>
      </c>
    </row>
    <row r="12" spans="2:3" x14ac:dyDescent="0.55000000000000004">
      <c r="B12" t="s">
        <v>39</v>
      </c>
      <c r="C12" s="14" t="str" cm="1">
        <f t="array" ref="C12">GetEnvironmentVariable("COMPUTERNAME")</f>
        <v>MSI</v>
      </c>
    </row>
    <row r="13" spans="2:3" x14ac:dyDescent="0.55000000000000004">
      <c r="B13" s="12" t="s">
        <v>48</v>
      </c>
      <c r="C13" s="14" t="b" cm="1">
        <f t="array" aca="1" ref="C13" ca="1">AND(JuliaExcel!AllResults=JuliaInXL!AllResults)</f>
        <v>0</v>
      </c>
    </row>
    <row r="14" spans="2:3" x14ac:dyDescent="0.55000000000000004">
      <c r="B14" s="14" t="s">
        <v>45</v>
      </c>
      <c r="C14" cm="1">
        <f t="array" aca="1" ref="C14" ca="1">MAX(ABS(JuliaExcel!AllResults-JuliaInXL!AllResults))</f>
        <v>1.1102230246251565E-16</v>
      </c>
    </row>
    <row r="15" spans="2:3" x14ac:dyDescent="0.55000000000000004">
      <c r="B15" s="14" t="s">
        <v>49</v>
      </c>
      <c r="C15">
        <f ca="1">LOG(MaximumAbsoluteDifference)/LOG(2)</f>
        <v>-53</v>
      </c>
    </row>
    <row r="17" spans="2:10" x14ac:dyDescent="0.55000000000000004">
      <c r="B17" s="13" t="s">
        <v>37</v>
      </c>
    </row>
    <row r="18" spans="2:10" x14ac:dyDescent="0.55000000000000004">
      <c r="B18" s="3" t="s">
        <v>11</v>
      </c>
      <c r="C18" s="3" t="s">
        <v>14</v>
      </c>
      <c r="D18" s="3" t="s">
        <v>12</v>
      </c>
      <c r="E18" s="3" t="s">
        <v>13</v>
      </c>
      <c r="F18" s="3" t="s">
        <v>15</v>
      </c>
      <c r="G18" s="3" t="s">
        <v>16</v>
      </c>
      <c r="H18" s="3" t="s">
        <v>17</v>
      </c>
      <c r="I18" s="3" t="s">
        <v>18</v>
      </c>
      <c r="J18" s="3" t="s">
        <v>40</v>
      </c>
    </row>
    <row r="19" spans="2:10" x14ac:dyDescent="0.55000000000000004">
      <c r="B19" t="s">
        <v>19</v>
      </c>
      <c r="C19" s="2">
        <v>1000</v>
      </c>
      <c r="D19" t="s">
        <v>20</v>
      </c>
      <c r="E19" t="s">
        <v>21</v>
      </c>
      <c r="F19">
        <v>1</v>
      </c>
      <c r="G19" t="b">
        <v>1</v>
      </c>
      <c r="H19">
        <v>1.4721031999797561E-3</v>
      </c>
      <c r="I19">
        <v>5.2428409998537975E-4</v>
      </c>
      <c r="J19">
        <v>0.3561462946297444</v>
      </c>
    </row>
    <row r="20" spans="2:10" x14ac:dyDescent="0.55000000000000004">
      <c r="B20" s="12" t="s">
        <v>26</v>
      </c>
      <c r="C20" s="2">
        <v>100000</v>
      </c>
      <c r="D20" s="12" t="s">
        <v>32</v>
      </c>
      <c r="E20" t="s">
        <v>33</v>
      </c>
      <c r="F20">
        <v>5</v>
      </c>
      <c r="G20" t="b">
        <v>0</v>
      </c>
      <c r="H20">
        <v>2.0919200009666385E-2</v>
      </c>
      <c r="I20">
        <v>6.2615719996392732E-2</v>
      </c>
      <c r="J20">
        <v>2.9932177123149613</v>
      </c>
    </row>
    <row r="21" spans="2:10" x14ac:dyDescent="0.55000000000000004">
      <c r="B21" t="s">
        <v>27</v>
      </c>
      <c r="C21" s="2">
        <v>100000</v>
      </c>
      <c r="D21" s="12" t="s">
        <v>31</v>
      </c>
      <c r="E21" t="s">
        <v>34</v>
      </c>
      <c r="F21">
        <v>5</v>
      </c>
      <c r="G21" t="b">
        <v>0</v>
      </c>
      <c r="H21">
        <v>0.10719505999004468</v>
      </c>
      <c r="I21">
        <v>4.5656139997299762E-2</v>
      </c>
      <c r="J21">
        <v>0.42591645549281743</v>
      </c>
    </row>
    <row r="22" spans="2:10" x14ac:dyDescent="0.55000000000000004">
      <c r="B22" t="s">
        <v>28</v>
      </c>
      <c r="C22" s="2">
        <v>100000</v>
      </c>
      <c r="D22" s="12" t="s">
        <v>22</v>
      </c>
      <c r="E22" s="12" t="s">
        <v>23</v>
      </c>
      <c r="F22">
        <v>5</v>
      </c>
      <c r="G22" t="b">
        <v>0</v>
      </c>
      <c r="H22">
        <v>0.1069589800084941</v>
      </c>
      <c r="I22">
        <v>0.37934875999344514</v>
      </c>
      <c r="J22">
        <v>3.546675182984349</v>
      </c>
    </row>
    <row r="23" spans="2:10" x14ac:dyDescent="0.55000000000000004">
      <c r="B23" s="12" t="s">
        <v>29</v>
      </c>
      <c r="C23" s="2">
        <v>100000</v>
      </c>
      <c r="D23" s="12" t="s">
        <v>24</v>
      </c>
      <c r="E23" s="12" t="s">
        <v>25</v>
      </c>
      <c r="F23">
        <v>20</v>
      </c>
      <c r="G23" t="b">
        <v>0</v>
      </c>
      <c r="H23">
        <v>5.719990999205038E-2</v>
      </c>
      <c r="I23">
        <v>0.22000941499718465</v>
      </c>
      <c r="J23">
        <v>3.8463244964504573</v>
      </c>
    </row>
  </sheetData>
  <sheetProtection sheet="1" objects="1" scenarios="1"/>
  <conditionalFormatting sqref="C13">
    <cfRule type="cellIs" dxfId="14" priority="1" stopIfTrue="1" operator="equal">
      <formula>FALSE</formula>
    </cfRule>
    <cfRule type="cellIs" dxfId="13" priority="2" stopIfTrue="1" operator="equal">
      <formula>TRUE</formula>
    </cfRule>
    <cfRule type="expression" dxfId="12" priority="3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ManyTest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OutSheets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3</xdr:col>
                    <xdr:colOff>1939290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6790F-E6B1-4D0F-A368-EB06D0FDCC5D}">
  <sheetPr codeName="shJuliaExcel"/>
  <dimension ref="A1"/>
  <sheetViews>
    <sheetView showGridLines="0" showRowColHeaders="0" workbookViewId="0"/>
  </sheetViews>
  <sheetFormatPr defaultRowHeight="14.4" x14ac:dyDescent="0.55000000000000004"/>
  <sheetData/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4ACD-70C9-4D91-92AF-084DAA0EB317}">
  <sheetPr codeName="shJuliaInXL"/>
  <dimension ref="A1"/>
  <sheetViews>
    <sheetView showGridLines="0" showRowColHeaders="0" workbookViewId="0"/>
  </sheetViews>
  <sheetFormatPr defaultRowHeight="14.4" x14ac:dyDescent="0.55000000000000004"/>
  <sheetData/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C6CD-7D00-4BFA-A608-9BA86CB2EE52}">
  <sheetPr codeName="shInputData"/>
  <dimension ref="A1"/>
  <sheetViews>
    <sheetView showGridLines="0" showRowColHeaders="0" workbookViewId="0"/>
  </sheetViews>
  <sheetFormatPr defaultRowHeight="14.4" x14ac:dyDescent="0.55000000000000004"/>
  <sheetData/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FEA4-7D68-492D-AC8D-6A143E2D03D8}">
  <sheetPr codeName="Sheet1"/>
  <dimension ref="B1:B27"/>
  <sheetViews>
    <sheetView showGridLines="0" showRowColHeaders="0" workbookViewId="0"/>
  </sheetViews>
  <sheetFormatPr defaultRowHeight="14.4" x14ac:dyDescent="0.55000000000000004"/>
  <cols>
    <col min="1" max="1" width="2.578125" customWidth="1"/>
  </cols>
  <sheetData>
    <row r="1" spans="2:2" ht="28.8" x14ac:dyDescent="1.1000000000000001">
      <c r="B1" s="1" t="s">
        <v>46</v>
      </c>
    </row>
    <row r="3" spans="2:2" x14ac:dyDescent="0.55000000000000004">
      <c r="B3" s="17" t="s">
        <v>47</v>
      </c>
    </row>
    <row r="4" spans="2:2" x14ac:dyDescent="0.55000000000000004">
      <c r="B4" s="15" t="s">
        <v>52</v>
      </c>
    </row>
    <row r="5" spans="2:2" x14ac:dyDescent="0.55000000000000004">
      <c r="B5" s="15" t="s">
        <v>53</v>
      </c>
    </row>
    <row r="6" spans="2:2" x14ac:dyDescent="0.55000000000000004">
      <c r="B6" s="15" t="s">
        <v>54</v>
      </c>
    </row>
    <row r="7" spans="2:2" x14ac:dyDescent="0.55000000000000004">
      <c r="B7" s="16"/>
    </row>
    <row r="8" spans="2:2" x14ac:dyDescent="0.55000000000000004">
      <c r="B8" s="15" t="s">
        <v>58</v>
      </c>
    </row>
    <row r="9" spans="2:2" x14ac:dyDescent="0.55000000000000004">
      <c r="B9" s="26" t="s">
        <v>59</v>
      </c>
    </row>
    <row r="10" spans="2:2" x14ac:dyDescent="0.55000000000000004">
      <c r="B10" s="15" t="s">
        <v>60</v>
      </c>
    </row>
    <row r="11" spans="2:2" x14ac:dyDescent="0.55000000000000004">
      <c r="B11" s="15" t="s">
        <v>61</v>
      </c>
    </row>
    <row r="12" spans="2:2" x14ac:dyDescent="0.55000000000000004">
      <c r="B12" s="16"/>
    </row>
    <row r="13" spans="2:2" x14ac:dyDescent="0.55000000000000004">
      <c r="B13" s="15" t="s">
        <v>55</v>
      </c>
    </row>
    <row r="14" spans="2:2" x14ac:dyDescent="0.55000000000000004">
      <c r="B14" s="15" t="s">
        <v>56</v>
      </c>
    </row>
    <row r="15" spans="2:2" x14ac:dyDescent="0.55000000000000004">
      <c r="B15" s="15" t="s">
        <v>57</v>
      </c>
    </row>
    <row r="16" spans="2:2" x14ac:dyDescent="0.55000000000000004">
      <c r="B16" s="15"/>
    </row>
    <row r="17" spans="2:2" x14ac:dyDescent="0.55000000000000004">
      <c r="B17" s="15"/>
    </row>
    <row r="18" spans="2:2" x14ac:dyDescent="0.55000000000000004">
      <c r="B18" s="15"/>
    </row>
    <row r="19" spans="2:2" x14ac:dyDescent="0.55000000000000004">
      <c r="B19" s="15"/>
    </row>
    <row r="20" spans="2:2" x14ac:dyDescent="0.55000000000000004">
      <c r="B20" s="16"/>
    </row>
    <row r="21" spans="2:2" x14ac:dyDescent="0.55000000000000004">
      <c r="B21" s="15"/>
    </row>
    <row r="22" spans="2:2" x14ac:dyDescent="0.55000000000000004">
      <c r="B22" s="15"/>
    </row>
    <row r="23" spans="2:2" x14ac:dyDescent="0.55000000000000004">
      <c r="B23" s="15"/>
    </row>
    <row r="24" spans="2:2" x14ac:dyDescent="0.55000000000000004">
      <c r="B24" s="15"/>
    </row>
    <row r="25" spans="2:2" x14ac:dyDescent="0.55000000000000004">
      <c r="B25" s="16"/>
    </row>
    <row r="26" spans="2:2" x14ac:dyDescent="0.55000000000000004">
      <c r="B26" s="15"/>
    </row>
    <row r="27" spans="2:2" x14ac:dyDescent="0.55000000000000004">
      <c r="B27" s="15"/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8D282-4E85-403D-8C2C-B90C7A70EEE7}">
  <sheetPr codeName="shAudit"/>
  <dimension ref="B1:F7"/>
  <sheetViews>
    <sheetView showGridLines="0" showRowColHeaders="0" workbookViewId="0"/>
  </sheetViews>
  <sheetFormatPr defaultRowHeight="14.4" x14ac:dyDescent="0.55000000000000004"/>
  <cols>
    <col min="1" max="1" width="2.47265625" customWidth="1"/>
    <col min="2" max="2" width="7.68359375" customWidth="1"/>
    <col min="3" max="3" width="11.7890625" customWidth="1"/>
    <col min="4" max="4" width="5.3671875" customWidth="1"/>
    <col min="5" max="5" width="14.68359375" customWidth="1"/>
    <col min="6" max="6" width="155.47265625" customWidth="1"/>
  </cols>
  <sheetData>
    <row r="1" spans="2:6" ht="28.8" x14ac:dyDescent="1.1000000000000001">
      <c r="B1" s="1" t="s">
        <v>0</v>
      </c>
    </row>
    <row r="3" spans="2:6" x14ac:dyDescent="0.55000000000000004">
      <c r="B3" t="s">
        <v>50</v>
      </c>
    </row>
    <row r="4" spans="2:6" x14ac:dyDescent="0.55000000000000004">
      <c r="B4" s="18" t="s">
        <v>7</v>
      </c>
      <c r="C4" s="18" t="s">
        <v>8</v>
      </c>
      <c r="D4" s="18" t="s">
        <v>7</v>
      </c>
      <c r="E4" s="18" t="s">
        <v>8</v>
      </c>
      <c r="F4" s="18" t="s">
        <v>9</v>
      </c>
    </row>
    <row r="5" spans="2:6" x14ac:dyDescent="0.55000000000000004">
      <c r="B5" s="4" t="s">
        <v>1</v>
      </c>
      <c r="C5" s="8" t="s">
        <v>2</v>
      </c>
      <c r="D5" s="23" t="s">
        <v>3</v>
      </c>
      <c r="E5" s="5" t="s">
        <v>4</v>
      </c>
      <c r="F5" s="10" t="s">
        <v>5</v>
      </c>
    </row>
    <row r="6" spans="2:6" x14ac:dyDescent="0.55000000000000004">
      <c r="B6" s="19">
        <v>2</v>
      </c>
      <c r="C6" s="20">
        <v>46255</v>
      </c>
      <c r="D6" s="24">
        <v>0.42825231481401715</v>
      </c>
      <c r="E6" s="21" t="s">
        <v>6</v>
      </c>
      <c r="F6" s="22" t="s">
        <v>51</v>
      </c>
    </row>
    <row r="7" spans="2:6" x14ac:dyDescent="0.55000000000000004">
      <c r="B7" s="6">
        <v>1</v>
      </c>
      <c r="C7" s="9">
        <v>46254</v>
      </c>
      <c r="D7" s="25">
        <v>0.57450231481197989</v>
      </c>
      <c r="E7" s="7" t="s">
        <v>6</v>
      </c>
      <c r="F7" s="11" t="s">
        <v>10</v>
      </c>
    </row>
  </sheetData>
  <sheetProtection sheet="1" objects="1" scenarios="1"/>
  <conditionalFormatting sqref="B4:F4">
    <cfRule type="cellIs" dxfId="2" priority="1" operator="equal">
      <formula>"Double-click to filter"</formula>
    </cfRule>
    <cfRule type="cellIs" dxfId="1" priority="2" operator="equal">
      <formula>"Double-click"</formula>
    </cfRule>
    <cfRule type="cellIs" dxfId="0" priority="3" operator="equal">
      <formula>"Dbl-click"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Main</vt:lpstr>
      <vt:lpstr>JuliaExcel</vt:lpstr>
      <vt:lpstr>JuliaInXL</vt:lpstr>
      <vt:lpstr>InputData</vt:lpstr>
      <vt:lpstr>Findings</vt:lpstr>
      <vt:lpstr>Audit</vt:lpstr>
      <vt:lpstr>Audit!Headers</vt:lpstr>
      <vt:lpstr>Main!JuliaExcelLaunch</vt:lpstr>
      <vt:lpstr>Main!JuliaExcelProjectPath</vt:lpstr>
      <vt:lpstr>Main!JuliaExcelTestCell</vt:lpstr>
      <vt:lpstr>Main!JuliaInXLTestCell</vt:lpstr>
      <vt:lpstr>Main!LogBase2_MaxAbsDiff</vt:lpstr>
      <vt:lpstr>Main!MaximumAbsoluteDifference</vt:lpstr>
      <vt:lpstr>Main!Results_Identical?</vt:lpstr>
      <vt:lpstr>Main!TestSpecWithHeaders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2026-08-20T11:45:11Z</dcterms:created>
  <dcterms:modified xsi:type="dcterms:W3CDTF">2026-08-21T13:35:13Z</dcterms:modified>
</cp:coreProperties>
</file>