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Interop\workbooks\"/>
    </mc:Choice>
  </mc:AlternateContent>
  <xr:revisionPtr revIDLastSave="0" documentId="13_ncr:1_{A4506137-6268-4032-BB68-875C495005A7}" xr6:coauthVersionLast="47" xr6:coauthVersionMax="47" xr10:uidLastSave="{00000000-0000-0000-0000-000000000000}"/>
  <bookViews>
    <workbookView xWindow="-98" yWindow="-98" windowWidth="24496" windowHeight="15675" xr2:uid="{414CBFD7-0F60-4943-B193-D6C4B43F783D}"/>
  </bookViews>
  <sheets>
    <sheet name="Sheet1" sheetId="1" r:id="rId1"/>
    <sheet name="Examples" sheetId="3" r:id="rId2"/>
    <sheet name="Audit" sheetId="2" r:id="rId3"/>
  </sheets>
  <functionGroups builtInGroupCount="19"/>
  <definedNames>
    <definedName name="Headers" localSheetId="2">Audit!$B$5:$F$5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0" i="3" l="1" a="1"/>
  <c r="E60" i="3"/>
  <c r="C2" i="3" a="1"/>
  <c r="C2" i="3"/>
  <c r="C39" i="3" a="1"/>
  <c r="C39" i="3"/>
  <c r="C10" i="3" a="1"/>
  <c r="C10" i="3"/>
  <c r="C7" i="3" a="1"/>
  <c r="C7" i="3"/>
  <c r="C21" i="3" a="1"/>
  <c r="C21" i="3"/>
  <c r="C45" i="3" a="1"/>
  <c r="C45" i="3"/>
  <c r="C5" i="3" a="1"/>
  <c r="C5" i="3"/>
  <c r="C3" i="3" a="1"/>
  <c r="C3" i="3"/>
  <c r="C12" i="3" a="1"/>
  <c r="C12" i="3"/>
  <c r="C14" i="3" a="1"/>
  <c r="C14" i="3"/>
  <c r="C36" i="3" a="1"/>
  <c r="C36" i="3"/>
  <c r="C33" i="3" a="1"/>
  <c r="C33" i="3"/>
  <c r="C30" i="3" a="1"/>
  <c r="C30" i="3"/>
  <c r="C25" i="3" a="1"/>
  <c r="C25" i="3"/>
  <c r="C16" i="3" a="1"/>
  <c r="C1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<sst xmlns="http://schemas.openxmlformats.org/spreadsheetml/2006/main" count="51" uniqueCount="41">
  <si>
    <t>Audit</t>
  </si>
  <si>
    <t>Version</t>
  </si>
  <si>
    <t>Date</t>
  </si>
  <si>
    <t>Time</t>
  </si>
  <si>
    <t>Author</t>
  </si>
  <si>
    <t>Comment</t>
  </si>
  <si>
    <t>Philip Swannell</t>
  </si>
  <si>
    <t>Added Audit sheet</t>
  </si>
  <si>
    <t>VBA code to call Julia, replacement for JuliaInXL which is no longer sold by JuliaComputing</t>
  </si>
  <si>
    <t>VBAInterop</t>
  </si>
  <si>
    <t>Added experimental code from when I was trying to make VBAInterop work "properly" using sockets. I have given up on that approach, at least for now.</t>
  </si>
  <si>
    <t>1+1</t>
  </si>
  <si>
    <t>First working version:
We have two functions JuliaCall and JuliaEval.</t>
  </si>
  <si>
    <t>fill(1,(2,2,2))</t>
  </si>
  <si>
    <t>fill(1,(2,2))</t>
  </si>
  <si>
    <t>collect(1:5)</t>
  </si>
  <si>
    <t>nothing</t>
  </si>
  <si>
    <t>missing</t>
  </si>
  <si>
    <t>JuliaEval Examples</t>
  </si>
  <si>
    <t>ToDo</t>
  </si>
  <si>
    <t>No longer send commands to Julia via SendKeys but use WindowsAPI SendMessage instead.</t>
  </si>
  <si>
    <t>(1:3).+(1:3)'</t>
  </si>
  <si>
    <t>Array((1:3)')'</t>
  </si>
  <si>
    <t>[1,2,missing]</t>
  </si>
  <si>
    <t>Inf</t>
  </si>
  <si>
    <t>Allow sCSVRead to take in Sentinels, would make it easy to convert missing -&gt; Empty, Inf --&gt; #NUM! and maybe more</t>
  </si>
  <si>
    <t>Will no longer be cross-talk if we run two instance of Excel. Each Excel will talk to a dedicated Julia process.</t>
  </si>
  <si>
    <t>Handle streaming of Dataframes</t>
  </si>
  <si>
    <t>Minor tweaks</t>
  </si>
  <si>
    <t>reshape(collect(1:4),4,1)</t>
  </si>
  <si>
    <t>VERSION</t>
  </si>
  <si>
    <t>exit()</t>
  </si>
  <si>
    <t>First version with no dependency on SolumAddin.</t>
  </si>
  <si>
    <t>Wait loop in JuliaEval now tests if Julia is still alive, by checking if the window handle is still valid. So can evaluate "exit()" without an infinite loop!</t>
  </si>
  <si>
    <t>Exposes three functions: JuliaLaunch, JuliaEval and JuliaCall</t>
  </si>
  <si>
    <t>Now have separate function JuliaLaunch.</t>
  </si>
  <si>
    <t>Better error handling for when executing the startup file leads to an error.</t>
  </si>
  <si>
    <t>foo</t>
  </si>
  <si>
    <t>marie-veronique</t>
  </si>
  <si>
    <t>+</t>
  </si>
  <si>
    <t>First naive version of JuliaSetVar.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</si>
</sst>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m\-yyyy"/>
    <numFmt numFmtId="165" formatCode="#,##0;[Red]\-#,##0"/>
    <numFmt numFmtId="166" formatCode="hh:mm"/>
  </numFmts>
  <fonts count="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indexed="64"/>
      </top>
      <bottom style="thin">
        <color theme="0" tint="-0.14993743705557422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indexed="64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indexed="64"/>
      </bottom>
      <diagonal/>
    </border>
    <border>
      <left style="thin">
        <color indexed="64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indexed="64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38" fontId="2" fillId="2" borderId="4" xfId="0" applyNumberFormat="1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164" fontId="2" fillId="2" borderId="5" xfId="0" applyNumberFormat="1" applyFont="1" applyFill="1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2" fillId="2" borderId="6" xfId="0" quotePrefix="1" applyFont="1" applyFill="1" applyBorder="1" applyAlignment="1">
      <alignment horizontal="left" vertical="center" wrapText="1"/>
    </xf>
    <xf numFmtId="164" fontId="2" fillId="2" borderId="8" xfId="0" applyNumberFormat="1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left" vertical="center"/>
    </xf>
    <xf numFmtId="0" fontId="2" fillId="2" borderId="9" xfId="0" applyFont="1" applyFill="1" applyBorder="1" applyAlignment="1">
      <alignment horizontal="left" vertical="center" wrapText="1"/>
    </xf>
    <xf numFmtId="0" fontId="0" fillId="0" borderId="0" xfId="0" quotePrefix="1" applyAlignment="1">
      <alignment horizontal="left"/>
    </xf>
    <xf numFmtId="0" fontId="2" fillId="2" borderId="9" xfId="0" quotePrefix="1" applyFont="1" applyFill="1" applyBorder="1" applyAlignment="1">
      <alignment horizontal="left" vertical="center" wrapText="1"/>
    </xf>
    <xf numFmtId="0" fontId="1" fillId="0" borderId="0" xfId="0" quotePrefix="1" applyFont="1" applyAlignment="1">
      <alignment horizontal="left"/>
    </xf>
    <xf numFmtId="20" fontId="0" fillId="0" borderId="0" xfId="0" quotePrefix="1" applyNumberFormat="1" applyAlignment="1">
      <alignment horizontal="left"/>
    </xf>
    <xf numFmtId="0" fontId="3" fillId="0" borderId="0" xfId="0" applyFont="1"/>
    <xf numFmtId="38" fontId="2" fillId="2" borderId="7" xfId="0" applyNumberFormat="1" applyFont="1" applyFill="1" applyBorder="1" applyAlignment="1">
      <alignment horizontal="center" vertical="center"/>
    </xf>
    <xf numFmtId="165" fontId="2" fillId="2" borderId="7" xfId="0" applyNumberFormat="1" applyFont="1" applyFill="1" applyBorder="1" applyAlignment="1">
      <alignment horizontal="center" vertical="center"/>
    </xf>
    <xf numFmtId="166" fontId="0" fillId="0" borderId="2" xfId="0" applyNumberFormat="1" applyBorder="1" applyAlignment="1">
      <alignment horizontal="left" vertical="center"/>
    </xf>
    <xf numFmtId="166" fontId="2" fillId="2" borderId="8" xfId="0" applyNumberFormat="1" applyFont="1" applyFill="1" applyBorder="1" applyAlignment="1">
      <alignment horizontal="left" vertical="center"/>
    </xf>
    <xf numFmtId="166" fontId="2" fillId="2" borderId="5" xfId="0" applyNumberFormat="1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34922-253D-4F5E-B271-93B6B917BBC9}">
  <sheetPr codeName="Sheet1"/>
  <dimension ref="A1:A5"/>
  <sheetViews>
    <sheetView showGridLines="0" showRowColHeaders="0" tabSelected="1" workbookViewId="0"/>
  </sheetViews>
  <sheetFormatPr defaultRowHeight="14.25" x14ac:dyDescent="0.45"/>
  <cols>
    <col min="8" max="8" width="15.265625" bestFit="1" customWidth="1"/>
    <col min="9" max="9" width="8.59765625" bestFit="1" customWidth="1"/>
    <col min="11" max="11" width="39.86328125" bestFit="1" customWidth="1"/>
    <col min="13" max="13" width="10.73046875" bestFit="1" customWidth="1"/>
  </cols>
  <sheetData>
    <row r="1" spans="1:1" ht="28.5" x14ac:dyDescent="0.85">
      <c r="A1" s="1" t="s">
        <v>9</v>
      </c>
    </row>
    <row r="3" spans="1:1" x14ac:dyDescent="0.45">
      <c r="A3" t="s">
        <v>8</v>
      </c>
    </row>
    <row r="5" spans="1:1" x14ac:dyDescent="0.45">
      <c r="A5" s="13" t="s">
        <v>34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BA5CE-C357-4358-BDDE-73720D9DB89D}">
  <sheetPr codeName="Sheet3"/>
  <dimension ref="B1:P68"/>
  <sheetViews>
    <sheetView showGridLines="0" showRowColHeaders="0" workbookViewId="0"/>
  </sheetViews>
  <sheetFormatPr defaultRowHeight="14.25" x14ac:dyDescent="0.45"/>
  <cols>
    <col min="1" max="1" width="2.59765625" customWidth="1"/>
    <col min="2" max="2" width="20" bestFit="1" customWidth="1"/>
  </cols>
  <sheetData>
    <row r="1" spans="2:16" ht="28.5" x14ac:dyDescent="0.85">
      <c r="B1" s="15" t="s">
        <v>18</v>
      </c>
      <c r="P1" s="1"/>
    </row>
    <row r="2" spans="2:16" x14ac:dyDescent="0.45">
      <c r="C2" t="str" cm="1">
        <f t="array" aca="1" ref="C2" ca="1">JuliaLaunch()</f>
        <v>Julia launched with title "Julia 1.6.3 PID 2984 serving Excel PID 10908"</v>
      </c>
    </row>
    <row r="3" spans="2:16" x14ac:dyDescent="0.45">
      <c r="B3" s="13" t="s">
        <v>11</v>
      </c>
      <c r="C3" cm="1">
        <f t="array" aca="1" ref="C3" ca="1">JuliaEval(B3)</f>
        <v>2</v>
      </c>
    </row>
    <row r="5" spans="2:16" x14ac:dyDescent="0.45">
      <c r="B5" s="13" t="s">
        <v>15</v>
      </c>
      <c r="C5" cm="1">
        <f t="array" aca="1" ref="C5:G5" ca="1">JuliaEval(B5)</f>
        <v>1</v>
      </c>
      <c r="D5">
        <f ca="1"/>
        <v>2</v>
      </c>
      <c r="E5">
        <f ca="1"/>
        <v>3</v>
      </c>
      <c r="F5">
        <f ca="1"/>
        <v>4</v>
      </c>
      <c r="G5">
        <f ca="1"/>
        <v>5</v>
      </c>
    </row>
    <row r="7" spans="2:16" x14ac:dyDescent="0.45">
      <c r="B7" t="s">
        <v>14</v>
      </c>
      <c r="C7" cm="1">
        <f t="array" aca="1" ref="C7:D8" ca="1">JuliaEval(B7)</f>
        <v>1</v>
      </c>
      <c r="D7">
        <f ca="1"/>
        <v>1</v>
      </c>
    </row>
    <row r="8" spans="2:16" x14ac:dyDescent="0.45">
      <c r="C8">
        <f ca="1"/>
        <v>1</v>
      </c>
      <c r="D8">
        <f ca="1"/>
        <v>1</v>
      </c>
    </row>
    <row r="10" spans="2:16" x14ac:dyDescent="0.45">
      <c r="B10" t="s">
        <v>13</v>
      </c>
      <c r="C10" t="str" cm="1">
        <f t="array" aca="1" ref="C10" ca="1">JuliaEval(B10)</f>
        <v>#Expression evaluated in Julia, but returned a variable of type Array{Int64, 3}, which the function serializeresult does not (currently) handle!</v>
      </c>
    </row>
    <row r="12" spans="2:16" x14ac:dyDescent="0.45">
      <c r="B12" s="13" t="s">
        <v>16</v>
      </c>
      <c r="C12" t="str" cm="1">
        <f t="array" aca="1" ref="C12" ca="1">JuliaEval(B12)</f>
        <v>nothing</v>
      </c>
    </row>
    <row r="14" spans="2:16" x14ac:dyDescent="0.45">
      <c r="B14" t="s">
        <v>17</v>
      </c>
      <c r="C14" cm="1">
        <f t="array" aca="1" ref="C14" ca="1">JuliaEval(B14)</f>
        <v>0</v>
      </c>
    </row>
    <row r="16" spans="2:16" x14ac:dyDescent="0.45">
      <c r="B16" s="16" t="s">
        <v>29</v>
      </c>
      <c r="C16" cm="1">
        <f t="array" aca="1" ref="C16:C19" ca="1">JuliaEval(B16)</f>
        <v>1</v>
      </c>
    </row>
    <row r="17" spans="2:5" x14ac:dyDescent="0.45">
      <c r="C17">
        <f ca="1"/>
        <v>2</v>
      </c>
    </row>
    <row r="18" spans="2:5" x14ac:dyDescent="0.45">
      <c r="C18">
        <f ca="1"/>
        <v>3</v>
      </c>
    </row>
    <row r="19" spans="2:5" x14ac:dyDescent="0.45">
      <c r="C19">
        <f ca="1"/>
        <v>4</v>
      </c>
    </row>
    <row r="21" spans="2:5" x14ac:dyDescent="0.45">
      <c r="B21" s="16" t="s">
        <v>21</v>
      </c>
      <c r="C21" cm="1">
        <f t="array" aca="1" ref="C21:E23" ca="1">JuliaEval(B21)</f>
        <v>2</v>
      </c>
      <c r="D21">
        <f ca="1"/>
        <v>3</v>
      </c>
      <c r="E21">
        <f ca="1"/>
        <v>4</v>
      </c>
    </row>
    <row r="22" spans="2:5" x14ac:dyDescent="0.45">
      <c r="C22">
        <f ca="1"/>
        <v>3</v>
      </c>
      <c r="D22">
        <f ca="1"/>
        <v>4</v>
      </c>
      <c r="E22">
        <f ca="1"/>
        <v>5</v>
      </c>
    </row>
    <row r="23" spans="2:5" x14ac:dyDescent="0.45">
      <c r="C23">
        <f ca="1"/>
        <v>4</v>
      </c>
      <c r="D23">
        <f ca="1"/>
        <v>5</v>
      </c>
      <c r="E23">
        <f ca="1"/>
        <v>6</v>
      </c>
    </row>
    <row r="25" spans="2:5" x14ac:dyDescent="0.45">
      <c r="B25" s="13" t="s">
        <v>22</v>
      </c>
      <c r="C25" cm="1">
        <f t="array" aca="1" ref="C25:C27" ca="1">JuliaEval(B25)</f>
        <v>1</v>
      </c>
    </row>
    <row r="26" spans="2:5" x14ac:dyDescent="0.45">
      <c r="C26">
        <f ca="1"/>
        <v>2</v>
      </c>
    </row>
    <row r="27" spans="2:5" x14ac:dyDescent="0.45">
      <c r="C27">
        <f ca="1"/>
        <v>3</v>
      </c>
    </row>
    <row r="30" spans="2:5" x14ac:dyDescent="0.45">
      <c r="B30" s="13" t="s">
        <v>23</v>
      </c>
      <c r="C30" cm="1">
        <f t="array" aca="1" ref="C30:E30" ca="1">JuliaEval(B30)</f>
        <v>1</v>
      </c>
      <c r="D30">
        <f ca="1"/>
        <v>2</v>
      </c>
      <c r="E30">
        <f ca="1"/>
        <v>0</v>
      </c>
    </row>
    <row r="33" spans="2:3" x14ac:dyDescent="0.45">
      <c r="B33" t="s">
        <v>24</v>
      </c>
      <c r="C33" t="str" cm="1">
        <f t="array" aca="1" ref="C33" ca="1">JuliaEval(B33)</f>
        <v>Inf</v>
      </c>
    </row>
    <row r="36" spans="2:3" x14ac:dyDescent="0.45">
      <c r="B36" t="s">
        <v>30</v>
      </c>
      <c r="C36" t="str" cm="1">
        <f t="array" aca="1" ref="C36" ca="1">JuliaEval(B36)</f>
        <v>1.6.3</v>
      </c>
    </row>
    <row r="39" spans="2:3" x14ac:dyDescent="0.45">
      <c r="B39" t="s">
        <v>31</v>
      </c>
      <c r="C39" t="str" cm="1">
        <f t="array" aca="1" ref="C39" ca="1">JuliaEval(B39)</f>
        <v>#JuliaEval (line 24): The expression evaluated caused Julia to shut down!</v>
      </c>
    </row>
    <row r="44" spans="2:3" x14ac:dyDescent="0.45">
      <c r="B44" t="s">
        <v>38</v>
      </c>
    </row>
    <row r="45" spans="2:3" x14ac:dyDescent="0.45">
      <c r="B45">
        <v>1</v>
      </c>
      <c r="C45" t="str" cm="1">
        <f t="array" aca="1" ref="C45" ca="1">JuliaSetVar(B44,B45:B53)</f>
        <v>marie-veronique was assigned</v>
      </c>
    </row>
    <row r="46" spans="2:3" x14ac:dyDescent="0.45">
      <c r="B46">
        <v>2</v>
      </c>
    </row>
    <row r="47" spans="2:3" x14ac:dyDescent="0.45">
      <c r="B47">
        <v>3</v>
      </c>
    </row>
    <row r="48" spans="2:3" x14ac:dyDescent="0.45">
      <c r="B48">
        <v>4</v>
      </c>
    </row>
    <row r="49" spans="2:5" x14ac:dyDescent="0.45">
      <c r="B49">
        <v>5</v>
      </c>
    </row>
    <row r="50" spans="2:5" x14ac:dyDescent="0.45">
      <c r="B50">
        <v>6</v>
      </c>
    </row>
    <row r="51" spans="2:5" x14ac:dyDescent="0.45">
      <c r="B51">
        <v>7</v>
      </c>
    </row>
    <row r="52" spans="2:5" x14ac:dyDescent="0.45">
      <c r="B52">
        <v>8</v>
      </c>
    </row>
    <row r="53" spans="2:5" x14ac:dyDescent="0.45">
      <c r="B53">
        <v>9</v>
      </c>
    </row>
    <row r="60" spans="2:5" x14ac:dyDescent="0.45">
      <c r="B60" t="s">
        <v>39</v>
      </c>
      <c r="C60">
        <v>1</v>
      </c>
      <c r="E60" cm="1">
        <f t="array" aca="1" ref="E60" ca="1">JuliaCall(B60,C60,C61,C62)</f>
        <v>6</v>
      </c>
    </row>
    <row r="61" spans="2:5" x14ac:dyDescent="0.45">
      <c r="C61">
        <v>2</v>
      </c>
    </row>
    <row r="62" spans="2:5" x14ac:dyDescent="0.45">
      <c r="C62">
        <v>3</v>
      </c>
    </row>
    <row r="68" spans="7:7" x14ac:dyDescent="0.45">
      <c r="G68" t="s">
        <v>37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45489-1C43-4001-909A-9769C5DBD1FB}">
  <sheetPr codeName="Sheet2"/>
  <dimension ref="B1:H36"/>
  <sheetViews>
    <sheetView showGridLines="0" showRowColHeaders="0" workbookViewId="0"/>
  </sheetViews>
  <sheetFormatPr defaultRowHeight="14.25" x14ac:dyDescent="0.45"/>
  <cols>
    <col min="1" max="1" width="2.3984375" customWidth="1"/>
    <col min="2" max="2" width="7.73046875" customWidth="1"/>
    <col min="3" max="3" width="11.86328125" customWidth="1"/>
    <col min="4" max="4" width="5.3984375" customWidth="1"/>
    <col min="5" max="5" width="14.73046875" customWidth="1"/>
    <col min="6" max="6" width="155.3984375" customWidth="1"/>
  </cols>
  <sheetData>
    <row r="1" spans="2:8" ht="28.5" x14ac:dyDescent="0.85">
      <c r="B1" s="1" t="s">
        <v>0</v>
      </c>
    </row>
    <row r="5" spans="2:8" x14ac:dyDescent="0.45">
      <c r="B5" s="2" t="s">
        <v>1</v>
      </c>
      <c r="C5" s="6" t="s">
        <v>2</v>
      </c>
      <c r="D5" s="20" t="s">
        <v>3</v>
      </c>
      <c r="E5" s="3" t="s">
        <v>4</v>
      </c>
      <c r="F5" s="8" t="s">
        <v>5</v>
      </c>
      <c r="H5" s="17" t="s">
        <v>19</v>
      </c>
    </row>
    <row r="6" spans="2:8" x14ac:dyDescent="0.45">
      <c r="B6" s="19">
        <v>11</v>
      </c>
      <c r="C6" s="10">
        <v>44498</v>
      </c>
      <c r="D6" s="21">
        <v>0.66075231481227092</v>
      </c>
      <c r="E6" s="11" t="s">
        <v>6</v>
      </c>
      <c r="F6" s="12" t="s">
        <v>40</v>
      </c>
      <c r="H6" t="s">
        <v>25</v>
      </c>
    </row>
    <row r="7" spans="2:8" x14ac:dyDescent="0.45">
      <c r="B7" s="18">
        <v>10</v>
      </c>
      <c r="C7" s="10">
        <v>44496</v>
      </c>
      <c r="D7" s="21">
        <v>0.66944444444379769</v>
      </c>
      <c r="E7" s="11" t="s">
        <v>6</v>
      </c>
      <c r="F7" s="14" t="s">
        <v>36</v>
      </c>
      <c r="H7" t="s">
        <v>27</v>
      </c>
    </row>
    <row r="8" spans="2:8" x14ac:dyDescent="0.45">
      <c r="B8" s="18">
        <v>9</v>
      </c>
      <c r="C8" s="10">
        <v>44496</v>
      </c>
      <c r="D8" s="21">
        <v>0.58098379629518604</v>
      </c>
      <c r="E8" s="11" t="s">
        <v>6</v>
      </c>
      <c r="F8" s="14" t="s">
        <v>35</v>
      </c>
    </row>
    <row r="9" spans="2:8" x14ac:dyDescent="0.45">
      <c r="B9" s="18">
        <v>8</v>
      </c>
      <c r="C9" s="10">
        <v>44490</v>
      </c>
      <c r="D9" s="21">
        <v>0.82973379629402189</v>
      </c>
      <c r="E9" s="11" t="s">
        <v>6</v>
      </c>
      <c r="F9" s="12" t="s">
        <v>33</v>
      </c>
    </row>
    <row r="10" spans="2:8" x14ac:dyDescent="0.45">
      <c r="B10" s="18">
        <v>7</v>
      </c>
      <c r="C10" s="10">
        <v>44490</v>
      </c>
      <c r="D10" s="21">
        <v>0.73636574074043892</v>
      </c>
      <c r="E10" s="11" t="s">
        <v>6</v>
      </c>
      <c r="F10" s="12" t="s">
        <v>32</v>
      </c>
    </row>
    <row r="11" spans="2:8" x14ac:dyDescent="0.45">
      <c r="B11" s="18">
        <v>6</v>
      </c>
      <c r="C11" s="10">
        <v>44489</v>
      </c>
      <c r="D11" s="21">
        <v>0.74749999999767169</v>
      </c>
      <c r="E11" s="11" t="s">
        <v>6</v>
      </c>
      <c r="F11" s="12" t="s">
        <v>28</v>
      </c>
    </row>
    <row r="12" spans="2:8" x14ac:dyDescent="0.45">
      <c r="B12" s="18">
        <v>5</v>
      </c>
      <c r="C12" s="10">
        <v>44489</v>
      </c>
      <c r="D12" s="21">
        <v>0.73053240740409819</v>
      </c>
      <c r="E12" s="11" t="s">
        <v>6</v>
      </c>
      <c r="F12" s="14" t="s">
        <v>26</v>
      </c>
    </row>
    <row r="13" spans="2:8" x14ac:dyDescent="0.45">
      <c r="B13" s="18">
        <v>4</v>
      </c>
      <c r="C13" s="10">
        <v>44488</v>
      </c>
      <c r="D13" s="21">
        <v>0.79721064814657439</v>
      </c>
      <c r="E13" s="11" t="s">
        <v>6</v>
      </c>
      <c r="F13" s="12" t="s">
        <v>20</v>
      </c>
    </row>
    <row r="14" spans="2:8" ht="28.5" x14ac:dyDescent="0.45">
      <c r="B14" s="18">
        <v>3</v>
      </c>
      <c r="C14" s="10">
        <v>44487</v>
      </c>
      <c r="D14" s="21">
        <v>0.68336805555736646</v>
      </c>
      <c r="E14" s="11" t="s">
        <v>6</v>
      </c>
      <c r="F14" s="14" t="s">
        <v>12</v>
      </c>
    </row>
    <row r="15" spans="2:8" x14ac:dyDescent="0.45">
      <c r="B15" s="18">
        <v>2</v>
      </c>
      <c r="C15" s="10">
        <v>44484</v>
      </c>
      <c r="D15" s="21">
        <v>0.42918981481489027</v>
      </c>
      <c r="E15" s="11" t="s">
        <v>6</v>
      </c>
      <c r="F15" s="12" t="s">
        <v>10</v>
      </c>
    </row>
    <row r="16" spans="2:8" x14ac:dyDescent="0.45">
      <c r="B16" s="4">
        <v>1</v>
      </c>
      <c r="C16" s="7">
        <v>44484</v>
      </c>
      <c r="D16" s="22">
        <v>0.40581018518423662</v>
      </c>
      <c r="E16" s="5" t="s">
        <v>6</v>
      </c>
      <c r="F16" s="9" t="s">
        <v>7</v>
      </c>
    </row>
    <row r="36" spans="6:6" x14ac:dyDescent="0.45">
      <c r="F36" s="13"/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Examples</vt:lpstr>
      <vt:lpstr>Audit</vt:lpstr>
      <vt:lpstr>Audit!Headers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2021-10-14T08:50:42Z</dcterms:created>
  <dcterms:modified xsi:type="dcterms:W3CDTF">2021-10-29T13:51:55Z</dcterms:modified>
</cp:coreProperties>
</file>