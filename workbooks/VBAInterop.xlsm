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B131A53F-ED93-40C7-AC32-6AC93C1F8573}" xr6:coauthVersionLast="47" xr6:coauthVersionMax="47" xr10:uidLastSave="{00000000-0000-0000-0000-000000000000}"/>
  <bookViews>
    <workbookView xWindow="-108" yWindow="-108" windowWidth="30936" windowHeight="16896" activeTab="1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definedNames>
    <definedName name="Headers" localSheetId="2">Audit!$B$5:$F$5</definedName>
  </definedNames>
  <calcPr calcId="191029" calcMode="manual" calcCompleted="0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" l="1" a="1"/>
  <c r="C3" i="3"/>
  <c r="C49" i="3" a="1"/>
  <c r="C49" i="3"/>
  <c r="C5" i="3" a="1"/>
  <c r="C5" i="3"/>
  <c r="C7" i="3" a="1"/>
  <c r="C7" i="3"/>
  <c r="C9" i="3" a="1"/>
  <c r="C9" i="3"/>
  <c r="C11" i="3" a="1"/>
  <c r="C11" i="3"/>
  <c r="C23" i="3" a="1"/>
  <c r="C23" i="3"/>
  <c r="C22" i="3" a="1"/>
  <c r="C22" i="3"/>
  <c r="C21" i="3" a="1"/>
  <c r="C21" i="3"/>
  <c r="C20" i="3" a="1"/>
  <c r="C20" i="3"/>
  <c r="C19" i="3" a="1"/>
  <c r="C19" i="3"/>
  <c r="C18" i="3" l="1" a="1"/>
  <c r="C18" i="3"/>
  <c r="C55" i="3" a="1"/>
  <c r="C55" i="3"/>
  <c r="C46" i="3" a="1"/>
  <c r="C46" i="3"/>
  <c r="C44" i="3" a="1"/>
  <c r="C44" i="3"/>
  <c r="C43" i="3" a="1"/>
  <c r="C43" i="3"/>
  <c r="C42" i="3" a="1"/>
  <c r="C42" i="3"/>
  <c r="C39" i="3" a="1"/>
  <c r="C39" i="3"/>
  <c r="C34" i="3" a="1"/>
  <c r="C34" i="3"/>
  <c r="C30" i="3" a="1"/>
  <c r="C30" i="3"/>
  <c r="C25" i="3" a="1"/>
  <c r="C25" i="3"/>
  <c r="C13" i="3" a="1"/>
  <c r="C13" i="3"/>
  <c r="C17" i="3" a="1"/>
  <c r="C17" i="3"/>
  <c r="C16" i="3" a="1"/>
  <c r="C1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<sst xmlns="http://schemas.openxmlformats.org/spreadsheetml/2006/main" count="79" uniqueCount="60">
  <si>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</si>
  <si>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</si>
  <si>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</si>
  <si>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</si>
  <si>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</si>
  <si>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</si>
  <si>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</si>
  <si>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</si>
  <si>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</si>
  <si>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</si>
  <si>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</si>
  <si>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</si>
  <si>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</si>
  <si>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</si>
  <si>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</si>
  <si>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</si>
  <si>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</si>
  <si>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</si>
  <si>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</si>
  <si>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</si>
  <si>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</si>
  <si>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</si>
  <si>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</si>
  <si>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</si>
  <si>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</si>
  <si>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</si>
  <si>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</si>
  <si>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</si>
  <si>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</si>
  <si>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</si>
  <si>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</si>
  <si>
    <t>Wait loop in JuliaEval now tests if Julia is still alive, by checking if the window handle is still valid. So can evaluate "exit()" without an infinite loop!</t>
  </si>
  <si>
    <t>Now have separate function JuliaLaunch.</t>
  </si>
  <si>
    <t>Better error handling for when executing the startup file leads to an error.</t>
  </si>
  <si>
    <t>marie-veronique</t>
  </si>
  <si>
    <t>First naive version of JuliaSetVar.</t>
  </si>
  <si>
    <t>Exposes functions:</t>
  </si>
  <si>
    <t>JuliaLaunch</t>
  </si>
  <si>
    <t>JuliaEval</t>
  </si>
  <si>
    <t>JuliaCall</t>
  </si>
  <si>
    <t>JuliaSetVar</t>
  </si>
  <si>
    <t>JuliaInclude</t>
  </si>
  <si>
    <t>Improved JuliaSetVar and added JuliaInclude</t>
  </si>
  <si>
    <t>Planning name change VBAInterop to ExcelJuliaCall</t>
  </si>
  <si>
    <t>Change name from VBAInterop to something else. Ideas: ExcelJulia, ExcelJuliaCall, JuliaForExcel, JuliaForVBA, JuliaForXL, JuliaFromExcel, JuliaFromVBA, JuliaFromXL, JuliaVBA, VBAJulia, XLJulia, XLWithJulia</t>
  </si>
  <si>
    <t>Installer: Either write in Julia or write in VBScript, by adapting script to install SAI. See https://docs.julialang.org/en/v1/manual/running-external-programs/</t>
  </si>
  <si>
    <t>Changed method DefaultJuliaExe to search first on path.</t>
  </si>
  <si>
    <t>New location of VBA code in repo</t>
  </si>
  <si>
    <t>Last version prior to experimenting (on a branch) with a custom file format in place of CSV for communicating data back to Excel.</t>
  </si>
  <si>
    <t>NaN</t>
  </si>
  <si>
    <t>-Inf</t>
  </si>
  <si>
    <t>No longer use CSV file format, but my own custom serialization.</t>
  </si>
  <si>
    <t>[]</t>
  </si>
  <si>
    <t>[1,2,3,"Four",Inf,NaN,VERSION,true]</t>
  </si>
  <si>
    <t>yabba</t>
  </si>
  <si>
    <t>[1, []]</t>
  </si>
  <si>
    <t>[1, [1,2,3]]</t>
  </si>
  <si>
    <t>foo(x) = x^2</t>
  </si>
  <si>
    <t>foo</t>
  </si>
  <si>
    <t>Better handliing of results which are a) Functions, b) arrays containing arrays.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</si>
</sst>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20" fontId="0" fillId="0" borderId="0" xfId="0" quotePrefix="1" applyNumberFormat="1" applyAlignment="1">
      <alignment horizontal="left"/>
    </xf>
    <xf numFmtId="0" fontId="3" fillId="0" borderId="0" xfId="0" applyFont="1"/>
    <xf numFmtId="38" fontId="2" fillId="2" borderId="7" xfId="0" applyNumberFormat="1" applyFont="1" applyFill="1" applyBorder="1" applyAlignment="1">
      <alignment horizontal="center" vertical="center"/>
    </xf>
    <xf numFmtId="38" fontId="2" fillId="2" borderId="7" xfId="0" applyNumberFormat="1" applyFont="1" applyFill="1" applyBorder="1" applyAlignment="1">
      <alignment horizontal="center" vertical="center"/>
    </xf>
    <xf numFmtId="20" fontId="0" fillId="0" borderId="2" xfId="0" applyNumberFormat="1" applyBorder="1" applyAlignment="1">
      <alignment horizontal="left" vertical="center"/>
    </xf>
    <xf numFmtId="20" fontId="2" fillId="2" borderId="8" xfId="0" applyNumberFormat="1" applyFont="1" applyFill="1" applyBorder="1" applyAlignment="1">
      <alignment horizontal="left" vertical="center"/>
    </xf>
    <xf numFmtId="20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C11"/>
  <sheetViews>
    <sheetView showGridLines="0" showRowColHeaders="0" workbookViewId="0"/>
  </sheetViews>
  <sheetFormatPr defaultRowHeight="14.4" x14ac:dyDescent="0.3"/>
  <cols>
    <col min="7" max="7" width="9.77734375" bestFit="1" customWidth="1"/>
    <col min="8" max="8" width="15.21875" bestFit="1" customWidth="1"/>
    <col min="9" max="9" width="8.5546875" bestFit="1" customWidth="1"/>
    <col min="10" max="10" width="17.77734375" bestFit="1" customWidth="1"/>
    <col min="11" max="11" width="39.88671875" bestFit="1" customWidth="1"/>
    <col min="13" max="13" width="10.77734375" bestFit="1" customWidth="1"/>
  </cols>
  <sheetData>
    <row r="1" spans="1:3" ht="28.8" x14ac:dyDescent="0.55000000000000004">
      <c r="A1" s="1" t="s">
        <v>8</v>
      </c>
    </row>
    <row r="3" spans="1:3" x14ac:dyDescent="0.3">
      <c r="A3" t="s">
        <v>7</v>
      </c>
    </row>
    <row r="5" spans="1:3" x14ac:dyDescent="0.3">
      <c r="A5" s="13" t="s">
        <v>36</v>
      </c>
    </row>
    <row r="7" spans="1:3" x14ac:dyDescent="0.3">
      <c r="C7" t="s">
        <v>37</v>
      </c>
    </row>
    <row r="8" spans="1:3" x14ac:dyDescent="0.3">
      <c r="C8" t="s">
        <v>38</v>
      </c>
    </row>
    <row r="9" spans="1:3" x14ac:dyDescent="0.3">
      <c r="C9" t="s">
        <v>39</v>
      </c>
    </row>
    <row r="10" spans="1:3" x14ac:dyDescent="0.3">
      <c r="C10" t="s">
        <v>40</v>
      </c>
    </row>
    <row r="11" spans="1:3" x14ac:dyDescent="0.3">
      <c r="C11" t="s">
        <v>41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S63"/>
  <sheetViews>
    <sheetView showGridLines="0" showRowColHeaders="0" tabSelected="1" workbookViewId="0">
      <selection activeCell="J26" sqref="J26"/>
    </sheetView>
  </sheetViews>
  <sheetFormatPr defaultRowHeight="14.4" x14ac:dyDescent="0.3"/>
  <cols>
    <col min="1" max="1" width="2.5546875" customWidth="1"/>
    <col min="2" max="2" width="29.44140625" bestFit="1" customWidth="1"/>
    <col min="3" max="3" width="12.21875" bestFit="1" customWidth="1"/>
  </cols>
  <sheetData>
    <row r="1" spans="2:10" ht="28.8" x14ac:dyDescent="0.55000000000000004">
      <c r="B1" s="1" t="s">
        <v>17</v>
      </c>
    </row>
    <row r="3" spans="2:10" x14ac:dyDescent="0.3">
      <c r="B3" t="s">
        <v>37</v>
      </c>
      <c r="C3" t="str" cm="1">
        <f t="array" aca="1" ref="C3" ca="1">JuliaLaunch()</f>
        <v>Julia launched in window "Julia 1.7.0-rc2 PID 16812 serving Excel PID 3884"</v>
      </c>
    </row>
    <row r="5" spans="2:10" x14ac:dyDescent="0.3">
      <c r="B5" s="13" t="s">
        <v>10</v>
      </c>
      <c r="C5" cm="1">
        <f t="array" aca="1" ref="C5" ca="1">JuliaEval(B5)</f>
        <v>2</v>
      </c>
    </row>
    <row r="7" spans="2:10" x14ac:dyDescent="0.3">
      <c r="B7" s="13" t="s">
        <v>14</v>
      </c>
      <c r="C7" cm="1">
        <f t="array" aca="1" ref="C7:G7" ca="1">JuliaEval(B7)</f>
        <v>1</v>
      </c>
      <c r="D7">
        <f ca="1"/>
        <v>2</v>
      </c>
      <c r="E7">
        <f ca="1"/>
        <v>3</v>
      </c>
      <c r="F7">
        <f ca="1"/>
        <v>4</v>
      </c>
      <c r="G7">
        <f ca="1"/>
        <v>5</v>
      </c>
    </row>
    <row r="9" spans="2:10" x14ac:dyDescent="0.3">
      <c r="B9" s="13" t="s">
        <v>53</v>
      </c>
      <c r="C9" cm="1">
        <f t="array" aca="1" ref="C9:J9" ca="1">JuliaEval(B9)</f>
        <v>1</v>
      </c>
      <c r="D9">
        <f ca="1"/>
        <v>2</v>
      </c>
      <c r="E9">
        <f ca="1"/>
        <v>3</v>
      </c>
      <c r="F9" t="str">
        <f ca="1"/>
        <v>Four</v>
      </c>
      <c r="G9">
        <f ca="1"/>
        <v>1.7976931348623157E+308</v>
      </c>
      <c r="H9" t="e">
        <f ca="1"/>
        <v>#N/A</v>
      </c>
      <c r="I9" t="str">
        <f ca="1"/>
        <v>1.7.0-rc2</v>
      </c>
      <c r="J9" t="b">
        <f ca="1"/>
        <v>1</v>
      </c>
    </row>
    <row r="11" spans="2:10" x14ac:dyDescent="0.3">
      <c r="B11" t="s">
        <v>54</v>
      </c>
      <c r="C11" t="str" cm="1">
        <f t="array" aca="1" ref="C11" ca="1">JuliaEval(B11)</f>
        <v>#(UndefVarError(:yabba))!</v>
      </c>
    </row>
    <row r="13" spans="2:10" x14ac:dyDescent="0.3">
      <c r="B13" t="s">
        <v>13</v>
      </c>
      <c r="C13" cm="1">
        <f t="array" aca="1" ref="C13:D14" ca="1">JuliaEval(B13)</f>
        <v>1</v>
      </c>
      <c r="D13">
        <f ca="1"/>
        <v>1</v>
      </c>
    </row>
    <row r="14" spans="2:10" x14ac:dyDescent="0.3">
      <c r="C14">
        <f ca="1"/>
        <v>1</v>
      </c>
      <c r="D14">
        <f ca="1"/>
        <v>1</v>
      </c>
    </row>
    <row r="16" spans="2:10" x14ac:dyDescent="0.3">
      <c r="B16" t="s">
        <v>12</v>
      </c>
      <c r="C16" t="str" cm="1">
        <f t="array" aca="1" ref="C16" ca="1">JuliaEval(B16)</f>
        <v>#JuliaEval (line 26): #ReadFileAndDecode (line 6) error reading'C:\Users\phili\AppData\Local\Temp\VBAInterop\VBAInteropResult_31672.txt' #Decode (line 64): Cannot decode arrays with more than 2 dimensions!!!</v>
      </c>
    </row>
    <row r="17" spans="2:19" x14ac:dyDescent="0.3">
      <c r="B17" t="s">
        <v>52</v>
      </c>
      <c r="C17" t="str" cm="1">
        <f t="array" aca="1" ref="C17" ca="1">JuliaEval(B17)</f>
        <v>#JuliaEval (line 26): #ReadFileAndDecode (line 6) error reading'C:\Users\phili\AppData\Local\Temp\VBAInterop\VBAInteropResult_31672.txt' #Decode (line 37): Cannot create array of size zero!!!</v>
      </c>
    </row>
    <row r="18" spans="2:19" x14ac:dyDescent="0.3">
      <c r="B18" t="s">
        <v>55</v>
      </c>
      <c r="C18" t="str" cm="1">
        <f t="array" aca="1" ref="C18" ca="1">JuliaEval(B18)</f>
        <v>#JuliaEval (line 14): #ReadFileAndDecode (line 6) error reading'C:\Users\phili\AppData\Local\Temp\VBAInterop\VBAInteropResult_34280.txt' #Decode (line 42): #Decode (line 37): Cannot create array of size zero!!!!</v>
      </c>
    </row>
    <row r="19" spans="2:19" x14ac:dyDescent="0.3">
      <c r="B19" s="13" t="s">
        <v>56</v>
      </c>
      <c r="C19" t="str" cm="1">
        <f t="array" aca="1" ref="C19" ca="1">JuliaEval(B19)</f>
        <v>#JuliaEval (line 26): #ReadFileAndDecode (line 6) error reading'C:\Users\PHILIP~1\AppData\Local\Temp\VBAInterop\VBAInteropResult_2920.txt' #Decode (line 42): #Decode (line 30): Excel cannot display arrays containing arrays!!!!</v>
      </c>
    </row>
    <row r="20" spans="2:19" x14ac:dyDescent="0.3">
      <c r="B20" s="13" t="s">
        <v>15</v>
      </c>
      <c r="C20" cm="1">
        <f t="array" aca="1" ref="C20" ca="1">JuliaEval(B20)</f>
        <v>0</v>
      </c>
    </row>
    <row r="21" spans="2:19" x14ac:dyDescent="0.3">
      <c r="B21" t="s">
        <v>57</v>
      </c>
      <c r="C21" t="str" cm="1">
        <f t="array" aca="1" ref="C21" ca="1">JuliaEval(B21)</f>
        <v>foo (generic function with 1 method)</v>
      </c>
    </row>
    <row r="22" spans="2:19" x14ac:dyDescent="0.3">
      <c r="B22" t="s">
        <v>58</v>
      </c>
      <c r="C22" t="str" cm="1">
        <f t="array" aca="1" ref="C22" ca="1">JuliaEval(B22)</f>
        <v>foo (generic function with 1 method)</v>
      </c>
    </row>
    <row r="23" spans="2:19" x14ac:dyDescent="0.3">
      <c r="B23" t="s">
        <v>16</v>
      </c>
      <c r="C23" cm="1">
        <f t="array" aca="1" ref="C23" ca="1">JuliaEval(B23)</f>
        <v>0</v>
      </c>
    </row>
    <row r="25" spans="2:19" x14ac:dyDescent="0.3">
      <c r="B25" s="15" t="s">
        <v>27</v>
      </c>
      <c r="C25" cm="1">
        <f t="array" aca="1" ref="C25:C28" ca="1">JuliaEval(B25)</f>
        <v>1</v>
      </c>
    </row>
    <row r="26" spans="2:19" x14ac:dyDescent="0.3">
      <c r="C26">
        <f ca="1"/>
        <v>2</v>
      </c>
    </row>
    <row r="27" spans="2:19" x14ac:dyDescent="0.3">
      <c r="C27">
        <f ca="1"/>
        <v>3</v>
      </c>
    </row>
    <row r="28" spans="2:19" x14ac:dyDescent="0.3">
      <c r="C28">
        <f ca="1"/>
        <v>4</v>
      </c>
    </row>
    <row r="30" spans="2:19" x14ac:dyDescent="0.3">
      <c r="B30" s="15" t="s">
        <v>20</v>
      </c>
      <c r="C30" cm="1">
        <f t="array" aca="1" ref="C30:E32" ca="1">JuliaEval(B30)</f>
        <v>2</v>
      </c>
      <c r="D30">
        <f ca="1"/>
        <v>3</v>
      </c>
      <c r="E30">
        <f ca="1"/>
        <v>4</v>
      </c>
      <c r="G30" s="13"/>
    </row>
    <row r="31" spans="2:19" x14ac:dyDescent="0.3">
      <c r="C31">
        <f ca="1"/>
        <v>3</v>
      </c>
      <c r="D31">
        <f ca="1"/>
        <v>4</v>
      </c>
      <c r="E31">
        <f ca="1"/>
        <v>5</v>
      </c>
    </row>
    <row r="32" spans="2:19" x14ac:dyDescent="0.3">
      <c r="C32">
        <f ca="1"/>
        <v>4</v>
      </c>
      <c r="D32">
        <f ca="1"/>
        <v>5</v>
      </c>
      <c r="E32">
        <f ca="1"/>
        <v>6</v>
      </c>
      <c r="S32" s="13"/>
    </row>
    <row r="34" spans="2:12" x14ac:dyDescent="0.3">
      <c r="B34" s="13" t="s">
        <v>21</v>
      </c>
      <c r="C34" cm="1">
        <f t="array" aca="1" ref="C34:C36" ca="1">JuliaEval(B34)</f>
        <v>1</v>
      </c>
      <c r="J34" s="15"/>
    </row>
    <row r="35" spans="2:12" x14ac:dyDescent="0.3">
      <c r="C35">
        <f ca="1"/>
        <v>2</v>
      </c>
    </row>
    <row r="36" spans="2:12" x14ac:dyDescent="0.3">
      <c r="C36">
        <f ca="1"/>
        <v>3</v>
      </c>
    </row>
    <row r="39" spans="2:12" x14ac:dyDescent="0.3">
      <c r="B39" s="13" t="s">
        <v>22</v>
      </c>
      <c r="C39" cm="1">
        <f t="array" aca="1" ref="C39:E39" ca="1">JuliaEval(B39)</f>
        <v>1</v>
      </c>
      <c r="D39">
        <f ca="1"/>
        <v>2</v>
      </c>
      <c r="E39">
        <f ca="1"/>
        <v>0</v>
      </c>
    </row>
    <row r="42" spans="2:12" x14ac:dyDescent="0.3">
      <c r="B42" t="s">
        <v>23</v>
      </c>
      <c r="C42" cm="1">
        <f t="array" aca="1" ref="C42" ca="1">JuliaEval(B42)</f>
        <v>1.7976931348623157E+308</v>
      </c>
    </row>
    <row r="43" spans="2:12" x14ac:dyDescent="0.3">
      <c r="B43" s="13" t="s">
        <v>50</v>
      </c>
      <c r="C43" cm="1">
        <f t="array" aca="1" ref="C43" ca="1">JuliaEval(B43)</f>
        <v>-1.7976931348623157E+308</v>
      </c>
      <c r="L43" s="13"/>
    </row>
    <row r="44" spans="2:12" x14ac:dyDescent="0.3">
      <c r="B44" s="13" t="s">
        <v>49</v>
      </c>
      <c r="C44" t="e" cm="1">
        <f t="array" aca="1" ref="C44" ca="1">JuliaEval(B44)</f>
        <v>#N/A</v>
      </c>
    </row>
    <row r="46" spans="2:12" x14ac:dyDescent="0.3">
      <c r="B46" t="s">
        <v>28</v>
      </c>
      <c r="C46" t="str" cm="1">
        <f t="array" aca="1" ref="C46" ca="1">JuliaEval(B46)</f>
        <v>1.6.3</v>
      </c>
    </row>
    <row r="49" spans="2:3" x14ac:dyDescent="0.3">
      <c r="B49" t="s">
        <v>29</v>
      </c>
      <c r="C49" t="str" cm="1">
        <f t="array" aca="1" ref="C49" ca="1">JuliaEval(B49)</f>
        <v>#JuliaEval (line 14): The expression evaluated caused Julia to shut down!</v>
      </c>
    </row>
    <row r="54" spans="2:3" x14ac:dyDescent="0.3">
      <c r="B54" t="s">
        <v>34</v>
      </c>
    </row>
    <row r="55" spans="2:3" x14ac:dyDescent="0.3">
      <c r="B55">
        <v>1</v>
      </c>
      <c r="C55" t="str" cm="1">
        <f t="array" aca="1" ref="C55" ca="1">JuliaSetVar(B54,B55:B63)</f>
        <v>#`marie-veronique` is not an allowed variable name in Julia!</v>
      </c>
    </row>
    <row r="56" spans="2:3" x14ac:dyDescent="0.3">
      <c r="B56">
        <v>2</v>
      </c>
    </row>
    <row r="57" spans="2:3" x14ac:dyDescent="0.3">
      <c r="B57">
        <v>3</v>
      </c>
    </row>
    <row r="58" spans="2:3" x14ac:dyDescent="0.3">
      <c r="B58">
        <v>4</v>
      </c>
    </row>
    <row r="59" spans="2:3" x14ac:dyDescent="0.3">
      <c r="B59">
        <v>5</v>
      </c>
    </row>
    <row r="60" spans="2:3" x14ac:dyDescent="0.3">
      <c r="B60">
        <v>6</v>
      </c>
    </row>
    <row r="61" spans="2:3" x14ac:dyDescent="0.3">
      <c r="B61">
        <v>7</v>
      </c>
    </row>
    <row r="62" spans="2:3" x14ac:dyDescent="0.3">
      <c r="B62">
        <v>8</v>
      </c>
    </row>
    <row r="63" spans="2:3" x14ac:dyDescent="0.3">
      <c r="B63">
        <v>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43"/>
  <sheetViews>
    <sheetView showGridLines="0" showRowColHeaders="0" workbookViewId="0"/>
  </sheetViews>
  <sheetFormatPr defaultRowHeight="14.4" x14ac:dyDescent="0.3"/>
  <cols>
    <col min="1" max="1" width="2.44140625" customWidth="1"/>
    <col min="2" max="2" width="7.77734375" customWidth="1"/>
    <col min="3" max="3" width="11.88671875" customWidth="1"/>
    <col min="4" max="4" width="5.44140625" customWidth="1"/>
    <col min="5" max="5" width="14.77734375" customWidth="1"/>
    <col min="6" max="6" width="155.44140625" customWidth="1"/>
  </cols>
  <sheetData>
    <row r="1" spans="2:8" ht="28.8" x14ac:dyDescent="0.55000000000000004">
      <c r="B1" s="1" t="s">
        <v>8</v>
      </c>
    </row>
    <row r="5" spans="2:8" x14ac:dyDescent="0.3">
      <c r="B5" s="2" t="s">
        <v>0</v>
      </c>
      <c r="C5" s="6" t="s">
        <v>1</v>
      </c>
      <c r="D5" s="19" t="s">
        <v>2</v>
      </c>
      <c r="E5" s="3" t="s">
        <v>3</v>
      </c>
      <c r="F5" s="8" t="s">
        <v>4</v>
      </c>
      <c r="H5" s="16" t="s">
        <v>18</v>
      </c>
    </row>
    <row r="6" spans="2:8" x14ac:dyDescent="0.3">
      <c r="B6" s="18">
        <v>18</v>
      </c>
      <c r="C6" s="10">
        <v>44504</v>
      </c>
      <c r="D6" s="20">
        <v>0.42736111111298669</v>
      </c>
      <c r="E6" s="11" t="s">
        <v>5</v>
      </c>
      <c r="F6" s="12" t="s">
        <v>59</v>
      </c>
    </row>
    <row r="7" spans="2:8" x14ac:dyDescent="0.3">
      <c r="B7" s="17">
        <v>17</v>
      </c>
      <c r="C7" s="10">
        <v>44503</v>
      </c>
      <c r="D7" s="20">
        <v>0.77790509258920792</v>
      </c>
      <c r="E7" s="11" t="s">
        <v>5</v>
      </c>
      <c r="F7" s="12" t="s">
        <v>51</v>
      </c>
      <c r="H7" t="s">
        <v>25</v>
      </c>
    </row>
    <row r="8" spans="2:8" x14ac:dyDescent="0.3">
      <c r="B8" s="17">
        <v>16</v>
      </c>
      <c r="C8" s="10">
        <v>44503</v>
      </c>
      <c r="D8" s="20">
        <v>0.51612268518510973</v>
      </c>
      <c r="E8" s="11" t="s">
        <v>5</v>
      </c>
      <c r="F8" s="12" t="s">
        <v>48</v>
      </c>
    </row>
    <row r="9" spans="2:8" x14ac:dyDescent="0.3">
      <c r="B9" s="17">
        <v>15</v>
      </c>
      <c r="C9" s="10">
        <v>44501</v>
      </c>
      <c r="D9" s="20">
        <v>0.61922453704028158</v>
      </c>
      <c r="E9" s="11" t="s">
        <v>5</v>
      </c>
      <c r="F9" s="12" t="s">
        <v>47</v>
      </c>
      <c r="H9" s="13"/>
    </row>
    <row r="10" spans="2:8" x14ac:dyDescent="0.3">
      <c r="B10" s="17">
        <v>14</v>
      </c>
      <c r="C10" s="10">
        <v>44500</v>
      </c>
      <c r="D10" s="20">
        <v>0.77243055555300089</v>
      </c>
      <c r="E10" s="11" t="s">
        <v>5</v>
      </c>
      <c r="F10" s="14" t="s">
        <v>46</v>
      </c>
    </row>
    <row r="11" spans="2:8" x14ac:dyDescent="0.3">
      <c r="B11" s="17">
        <v>13</v>
      </c>
      <c r="C11" s="10">
        <v>44499</v>
      </c>
      <c r="D11" s="20">
        <v>0.77101851852057735</v>
      </c>
      <c r="E11" s="11" t="s">
        <v>5</v>
      </c>
      <c r="F11" s="12" t="s">
        <v>43</v>
      </c>
      <c r="H11" s="13" t="s">
        <v>44</v>
      </c>
    </row>
    <row r="12" spans="2:8" x14ac:dyDescent="0.3">
      <c r="B12" s="17">
        <v>12</v>
      </c>
      <c r="C12" s="10">
        <v>44498</v>
      </c>
      <c r="D12" s="20">
        <v>0.75243055555620231</v>
      </c>
      <c r="E12" s="11" t="s">
        <v>5</v>
      </c>
      <c r="F12" s="12" t="s">
        <v>42</v>
      </c>
      <c r="H12" s="13" t="s">
        <v>45</v>
      </c>
    </row>
    <row r="13" spans="2:8" x14ac:dyDescent="0.3">
      <c r="B13" s="17">
        <v>11</v>
      </c>
      <c r="C13" s="10">
        <v>44498</v>
      </c>
      <c r="D13" s="20">
        <v>0.66075231481227092</v>
      </c>
      <c r="E13" s="11" t="s">
        <v>5</v>
      </c>
      <c r="F13" s="12" t="s">
        <v>35</v>
      </c>
    </row>
    <row r="14" spans="2:8" x14ac:dyDescent="0.3">
      <c r="B14" s="17">
        <v>10</v>
      </c>
      <c r="C14" s="10">
        <v>44496</v>
      </c>
      <c r="D14" s="20">
        <v>0.66944444444379769</v>
      </c>
      <c r="E14" s="11" t="s">
        <v>5</v>
      </c>
      <c r="F14" s="14" t="s">
        <v>33</v>
      </c>
    </row>
    <row r="15" spans="2:8" x14ac:dyDescent="0.3">
      <c r="B15" s="17">
        <v>9</v>
      </c>
      <c r="C15" s="10">
        <v>44496</v>
      </c>
      <c r="D15" s="20">
        <v>0.58098379629518604</v>
      </c>
      <c r="E15" s="11" t="s">
        <v>5</v>
      </c>
      <c r="F15" s="14" t="s">
        <v>32</v>
      </c>
    </row>
    <row r="16" spans="2:8" x14ac:dyDescent="0.3">
      <c r="B16" s="17">
        <v>8</v>
      </c>
      <c r="C16" s="10">
        <v>44490</v>
      </c>
      <c r="D16" s="20">
        <v>0.82973379629402189</v>
      </c>
      <c r="E16" s="11" t="s">
        <v>5</v>
      </c>
      <c r="F16" s="12" t="s">
        <v>31</v>
      </c>
    </row>
    <row r="17" spans="2:8" x14ac:dyDescent="0.3">
      <c r="B17" s="17">
        <v>7</v>
      </c>
      <c r="C17" s="10">
        <v>44490</v>
      </c>
      <c r="D17" s="20">
        <v>0.73636574074043892</v>
      </c>
      <c r="E17" s="11" t="s">
        <v>5</v>
      </c>
      <c r="F17" s="12" t="s">
        <v>30</v>
      </c>
    </row>
    <row r="18" spans="2:8" x14ac:dyDescent="0.3">
      <c r="B18" s="17">
        <v>6</v>
      </c>
      <c r="C18" s="10">
        <v>44489</v>
      </c>
      <c r="D18" s="20">
        <v>0.74749999999767169</v>
      </c>
      <c r="E18" s="11" t="s">
        <v>5</v>
      </c>
      <c r="F18" s="12" t="s">
        <v>26</v>
      </c>
    </row>
    <row r="19" spans="2:8" x14ac:dyDescent="0.3">
      <c r="B19" s="17">
        <v>5</v>
      </c>
      <c r="C19" s="10">
        <v>44489</v>
      </c>
      <c r="D19" s="20">
        <v>0.73053240740409819</v>
      </c>
      <c r="E19" s="11" t="s">
        <v>5</v>
      </c>
      <c r="F19" s="14" t="s">
        <v>24</v>
      </c>
    </row>
    <row r="20" spans="2:8" x14ac:dyDescent="0.3">
      <c r="B20" s="17">
        <v>4</v>
      </c>
      <c r="C20" s="10">
        <v>44488</v>
      </c>
      <c r="D20" s="20">
        <v>0.79721064814657439</v>
      </c>
      <c r="E20" s="11" t="s">
        <v>5</v>
      </c>
      <c r="F20" s="12" t="s">
        <v>19</v>
      </c>
    </row>
    <row r="21" spans="2:8" ht="28.8" x14ac:dyDescent="0.3">
      <c r="B21" s="17">
        <v>3</v>
      </c>
      <c r="C21" s="10">
        <v>44487</v>
      </c>
      <c r="D21" s="20">
        <v>0.68336805555736646</v>
      </c>
      <c r="E21" s="11" t="s">
        <v>5</v>
      </c>
      <c r="F21" s="14" t="s">
        <v>11</v>
      </c>
    </row>
    <row r="22" spans="2:8" x14ac:dyDescent="0.3">
      <c r="B22" s="17">
        <v>2</v>
      </c>
      <c r="C22" s="10">
        <v>44484</v>
      </c>
      <c r="D22" s="20">
        <v>0.42918981481489027</v>
      </c>
      <c r="E22" s="11" t="s">
        <v>5</v>
      </c>
      <c r="F22" s="12" t="s">
        <v>9</v>
      </c>
    </row>
    <row r="23" spans="2:8" x14ac:dyDescent="0.3">
      <c r="B23" s="4">
        <v>1</v>
      </c>
      <c r="C23" s="7">
        <v>44484</v>
      </c>
      <c r="D23" s="21">
        <v>0.40581018518423662</v>
      </c>
      <c r="E23" s="5" t="s">
        <v>5</v>
      </c>
      <c r="F23" s="9" t="s">
        <v>6</v>
      </c>
      <c r="H23" s="13"/>
    </row>
    <row r="43" spans="6:6" x14ac:dyDescent="0.3">
      <c r="F43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2021-11-04T11:59:46Z</dcterms:modified>
</cp:coreProperties>
</file>