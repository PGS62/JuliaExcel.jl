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13_ncr:1_{AE02A369-96CF-4502-90F4-2D65C8BC41AB}" xr6:coauthVersionLast="47" xr6:coauthVersionMax="47" xr10:uidLastSave="{00000000-0000-0000-0000-000000000000}"/>
  <bookViews>
    <workbookView xWindow="48503" yWindow="-98" windowWidth="38595" windowHeight="21075" xr2:uid="{414CBFD7-0F60-4943-B193-D6C4B43F783D}"/>
  </bookViews>
  <sheets>
    <sheet name="Sheet1" sheetId="1" r:id="rId1"/>
    <sheet name="Examples" sheetId="3" r:id="rId2"/>
    <sheet name="MyFileFormat" sheetId="4" r:id="rId3"/>
    <sheet name="Audit" sheetId="2" r:id="rId4"/>
  </sheets>
  <functionGroups builtInGroupCount="19"/>
  <definedNames>
    <definedName name="Headers" localSheetId="3">Audit!$B$5:$F$5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" i="3" l="1" a="1"/>
  <c r="C19" i="3"/>
  <c r="C18" i="3" a="1"/>
  <c r="C18" i="3"/>
  <c r="C11" i="3" a="1"/>
  <c r="C11" i="3"/>
  <c r="C9" i="3" a="1"/>
  <c r="C9" i="3"/>
  <c r="C3" i="3" a="1"/>
  <c r="C3" i="3"/>
  <c r="C54" i="3" a="1"/>
  <c r="C54" i="3"/>
  <c r="C45" i="3" a="1"/>
  <c r="C45" i="3"/>
  <c r="C43" i="3" a="1"/>
  <c r="C43" i="3"/>
  <c r="C42" i="3" a="1"/>
  <c r="C42" i="3"/>
  <c r="C41" i="3" a="1"/>
  <c r="C41" i="3"/>
  <c r="C38" i="3" a="1"/>
  <c r="C38" i="3"/>
  <c r="C33" i="3" a="1"/>
  <c r="C33" i="3"/>
  <c r="C29" i="3" a="1"/>
  <c r="C29" i="3"/>
  <c r="C24" i="3" a="1"/>
  <c r="C24" i="3"/>
  <c r="C5" i="3" a="1"/>
  <c r="C5" i="3"/>
  <c r="C7" i="3" a="1"/>
  <c r="C7" i="3"/>
  <c r="C13" i="3" a="1"/>
  <c r="C13" i="3"/>
  <c r="C20" i="3" a="1"/>
  <c r="C20" i="3"/>
  <c r="C17" i="3" a="1"/>
  <c r="C17" i="3"/>
  <c r="C16" i="3" a="1"/>
  <c r="C16" i="3"/>
  <c r="C48" i="3" a="1"/>
  <c r="C48" i="3"/>
  <c r="C22" i="3" a="1"/>
  <c r="C22" i="3"/>
  <c r="T33" i="4" a="1"/>
  <c r="T33" i="4"/>
  <c r="T31" i="4" a="1"/>
  <c r="T31" i="4"/>
  <c r="T18" i="4" a="1"/>
  <c r="T18" i="4"/>
  <c r="F25" i="4"/>
  <c r="F25" i="4" a="1"/>
  <c r="F24" i="4"/>
  <c r="F24" i="4" a="1"/>
  <c r="F23" i="4"/>
  <c r="F23" i="4" a="1"/>
  <c r="F22" i="4"/>
  <c r="F22" i="4" a="1"/>
  <c r="F20" i="4"/>
  <c r="F20" i="4" a="1"/>
  <c r="F16" i="4"/>
  <c r="F16" i="4" a="1"/>
  <c r="F15" i="4"/>
  <c r="F15" i="4" a="1"/>
  <c r="F13" i="4"/>
  <c r="F13" i="4" a="1"/>
  <c r="F12" i="4"/>
  <c r="F12" i="4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<sst xmlns="http://schemas.openxmlformats.org/spreadsheetml/2006/main" count="156" uniqueCount="130">
  <si>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</si>
  <si>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</si>
  <si>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</si>
  <si>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</si>
  <si>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</si>
  <si>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</si>
  <si>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</si>
  <si>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</si>
  <si>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VBA code to call Julia, replacement for JuliaInXL which is no longer sold by JuliaComputing</t>
  </si>
  <si>
    <t>VBAInterop</t>
  </si>
  <si>
    <t>Added experimental code from when I was trying to make VBAInterop work "properly" using sockets. I have given up on that approach, at least for now.</t>
  </si>
  <si>
    <t>1+1</t>
  </si>
  <si>
    <t>First working version:
We have two functions JuliaCall and JuliaEval.</t>
  </si>
  <si>
    <t>fill(1,(2,2,2))</t>
  </si>
  <si>
    <t>fill(1,(2,2))</t>
  </si>
  <si>
    <t>collect(1:5)</t>
  </si>
  <si>
    <t>nothing</t>
  </si>
  <si>
    <t>missing</t>
  </si>
  <si>
    <t>JuliaEval Examples</t>
  </si>
  <si>
    <t>ToDo</t>
  </si>
  <si>
    <t>No longer send commands to Julia via SendKeys but use WindowsAPI SendMessage instead.</t>
  </si>
  <si>
    <t>(1:3).+(1:3)'</t>
  </si>
  <si>
    <t>Array((1:3)')'</t>
  </si>
  <si>
    <t>[1,2,missing]</t>
  </si>
  <si>
    <t>Inf</t>
  </si>
  <si>
    <t>Will no longer be cross-talk if we run two instance of Excel. Each Excel will talk to a dedicated Julia process.</t>
  </si>
  <si>
    <t>Handle streaming of Dataframes</t>
  </si>
  <si>
    <t>Minor tweaks</t>
  </si>
  <si>
    <t>reshape(collect(1:4),4,1)</t>
  </si>
  <si>
    <t>VERSION</t>
  </si>
  <si>
    <t>exit()</t>
  </si>
  <si>
    <t>First version with no dependency on SolumAddin.</t>
  </si>
  <si>
    <t>Wait loop in JuliaEval now tests if Julia is still alive, by checking if the window handle is still valid. So can evaluate "exit()" without an infinite loop!</t>
  </si>
  <si>
    <t>Now have separate function JuliaLaunch.</t>
  </si>
  <si>
    <t>Better error handling for when executing the startup file leads to an error.</t>
  </si>
  <si>
    <t>marie-veronique</t>
  </si>
  <si>
    <t>First naive version of JuliaSetVar.</t>
  </si>
  <si>
    <t>Exposes functions:</t>
  </si>
  <si>
    <t>JuliaLaunch</t>
  </si>
  <si>
    <t>JuliaEval</t>
  </si>
  <si>
    <t>JuliaCall</t>
  </si>
  <si>
    <t>JuliaSetVar</t>
  </si>
  <si>
    <t>JuliaInclude</t>
  </si>
  <si>
    <t>Improved JuliaSetVar and added JuliaInclude</t>
  </si>
  <si>
    <t>Planning name change VBAInterop to ExcelJuliaCall</t>
  </si>
  <si>
    <t>Change name from VBAInterop to something else. Ideas: ExcelJulia, ExcelJuliaCall, JuliaForExcel, JuliaForVBA, JuliaForXL, JuliaFromExcel, JuliaFromVBA, JuliaFromXL, JuliaVBA, VBAJulia, XLJulia, XLWithJulia</t>
  </si>
  <si>
    <t>Installer: Either write in Julia or write in VBScript, by adapting script to install SAI. See https://docs.julialang.org/en/v1/manual/running-external-programs/</t>
  </si>
  <si>
    <t>Changed method DefaultJuliaExe to search first on path.</t>
  </si>
  <si>
    <t>New location of VBA code in repo</t>
  </si>
  <si>
    <t>Last version prior to experimenting (on a branch) with a custom file format in place of CSV for communicating data back to Excel.</t>
  </si>
  <si>
    <t>MyFileFormat</t>
  </si>
  <si>
    <t>Working Name</t>
  </si>
  <si>
    <t>Objective</t>
  </si>
  <si>
    <t>Text-based format for serialising data that may be held in a spreadsheet, faster to parse using VBA than CSV.</t>
  </si>
  <si>
    <t>Can store</t>
  </si>
  <si>
    <t>Numbers (of various types), Strings, Booleans, Dates, Empty, Null, Errors, Vectors (1-dim array), Matrices (2-dim array)</t>
  </si>
  <si>
    <t>Syntax</t>
  </si>
  <si>
    <t>Singleton types are represented as strings whose first character indicates the type and subsequent characters give the value</t>
  </si>
  <si>
    <t>Type indicator</t>
  </si>
  <si>
    <t>VBA type</t>
  </si>
  <si>
    <t>Julia type</t>
  </si>
  <si>
    <t>IEEE</t>
  </si>
  <si>
    <t>MFF</t>
  </si>
  <si>
    <t>#</t>
  </si>
  <si>
    <t>Double</t>
  </si>
  <si>
    <t>Float64</t>
  </si>
  <si>
    <t>#3.14159265358979</t>
  </si>
  <si>
    <t>$</t>
  </si>
  <si>
    <t>String</t>
  </si>
  <si>
    <t>$Hello World</t>
  </si>
  <si>
    <t>!</t>
  </si>
  <si>
    <t>Excel Error</t>
  </si>
  <si>
    <t>%</t>
  </si>
  <si>
    <t>Integer</t>
  </si>
  <si>
    <t>Int16</t>
  </si>
  <si>
    <t>%100</t>
  </si>
  <si>
    <t>&amp;</t>
  </si>
  <si>
    <t>Long</t>
  </si>
  <si>
    <t>Int64</t>
  </si>
  <si>
    <t>&amp;12345</t>
  </si>
  <si>
    <t>@</t>
  </si>
  <si>
    <t>Decimal</t>
  </si>
  <si>
    <t>https://docs.microsoft.com/en-us/office/vba/language/reference/user-interface-help/decimal-data-type</t>
  </si>
  <si>
    <t>C</t>
  </si>
  <si>
    <t>Currency</t>
  </si>
  <si>
    <t>https://docs.microsoft.com/en-us/office/vba/language/reference/user-interface-help/currency-data-type</t>
  </si>
  <si>
    <t>D</t>
  </si>
  <si>
    <t>E</t>
  </si>
  <si>
    <t>Empty</t>
  </si>
  <si>
    <t>L</t>
  </si>
  <si>
    <t>LongLong</t>
  </si>
  <si>
    <t>N</t>
  </si>
  <si>
    <t>Null</t>
  </si>
  <si>
    <t>S</t>
  </si>
  <si>
    <t>Single</t>
  </si>
  <si>
    <t>Float32</t>
  </si>
  <si>
    <t>S123</t>
  </si>
  <si>
    <t>T</t>
  </si>
  <si>
    <t>Boolean TRUE</t>
  </si>
  <si>
    <t>Bool</t>
  </si>
  <si>
    <t>F</t>
  </si>
  <si>
    <t>Boolean FALSE</t>
  </si>
  <si>
    <t>*</t>
  </si>
  <si>
    <t>Array</t>
  </si>
  <si>
    <t>References</t>
  </si>
  <si>
    <t>https://docs.microsoft.com/en-us/office/vba/language/reference/user-interface-help/data-type-summary</t>
  </si>
  <si>
    <t>https://en.wikipedia.org/wiki/Comparison_of_data-serialization_formats</t>
  </si>
  <si>
    <t>Arrays</t>
  </si>
  <si>
    <t>Arrays are represented by a string whose first character is the type indicator "*", followed by three sections separated by semi-colons. These are the dimensions section, the lengths section and the contents section</t>
  </si>
  <si>
    <t>Dimensions section is a comma-separated string, first element the number of dimensions, subsequent elements the length of each dimension.</t>
  </si>
  <si>
    <t>The lengths section is a comma separated string (with terminating comma) each element gives the length of the encoding of the ith element of the array</t>
  </si>
  <si>
    <t>The contents section is the concatenation of the encodings of the elements of the array.</t>
  </si>
  <si>
    <t>Examples</t>
  </si>
  <si>
    <t>VBA representation</t>
  </si>
  <si>
    <t>Julia</t>
  </si>
  <si>
    <t>Array(1,2,3)</t>
  </si>
  <si>
    <t>[1,2,3]</t>
  </si>
  <si>
    <t>*1,3;2,2,2,;%1%2%3</t>
  </si>
  <si>
    <t>Array(1,2,"3")</t>
  </si>
  <si>
    <t>[1,2,"3"]</t>
  </si>
  <si>
    <t>*1,3;2,2,2,;%1%2$3</t>
  </si>
  <si>
    <t>c:\temp\test100.mff</t>
  </si>
  <si>
    <t>NaN</t>
  </si>
  <si>
    <t>-Inf</t>
  </si>
  <si>
    <t>No longer use CSV file format, but my own custom serialization.</t>
  </si>
  <si>
    <t>[]</t>
  </si>
  <si>
    <t>[1,2,3,"Four",Inf,NaN,VERSION,true]</t>
  </si>
  <si>
    <t>yabba</t>
  </si>
  <si>
    <t>[1, []]</t>
  </si>
  <si>
    <t>[1, [1,2,3]]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</si>
</sst>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5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164" fontId="2" fillId="2" borderId="8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left"/>
    </xf>
    <xf numFmtId="0" fontId="2" fillId="2" borderId="9" xfId="0" quotePrefix="1" applyFont="1" applyFill="1" applyBorder="1" applyAlignment="1">
      <alignment horizontal="left" vertical="center" wrapText="1"/>
    </xf>
    <xf numFmtId="20" fontId="0" fillId="0" borderId="0" xfId="0" quotePrefix="1" applyNumberFormat="1" applyAlignment="1">
      <alignment horizontal="left"/>
    </xf>
    <xf numFmtId="0" fontId="3" fillId="0" borderId="0" xfId="0" applyFont="1"/>
    <xf numFmtId="38" fontId="2" fillId="2" borderId="7" xfId="0" applyNumberFormat="1" applyFont="1" applyFill="1" applyBorder="1" applyAlignment="1">
      <alignment horizontal="center" vertical="center"/>
    </xf>
    <xf numFmtId="9" fontId="0" fillId="0" borderId="0" xfId="0" quotePrefix="1" applyNumberFormat="1" applyAlignment="1">
      <alignment horizontal="left"/>
    </xf>
    <xf numFmtId="0" fontId="4" fillId="0" borderId="0" xfId="1"/>
    <xf numFmtId="38" fontId="2" fillId="2" borderId="7" xfId="0" applyNumberFormat="1" applyFont="1" applyFill="1" applyBorder="1" applyAlignment="1">
      <alignment horizontal="center" vertical="center"/>
    </xf>
    <xf numFmtId="20" fontId="0" fillId="0" borderId="2" xfId="0" applyNumberFormat="1" applyBorder="1" applyAlignment="1">
      <alignment horizontal="left" vertical="center"/>
    </xf>
    <xf numFmtId="20" fontId="2" fillId="2" borderId="8" xfId="0" applyNumberFormat="1" applyFont="1" applyFill="1" applyBorder="1" applyAlignment="1">
      <alignment horizontal="left" vertical="center"/>
    </xf>
    <xf numFmtId="20" fontId="2" fillId="2" borderId="5" xfId="0" applyNumberFormat="1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docs.microsoft.com/en-us/office/vba/language/reference/user-interface-help/decimal-data-type" TargetMode="External"/><Relationship Id="rId2" Type="http://schemas.openxmlformats.org/officeDocument/2006/relationships/hyperlink" Target="https://docs.microsoft.com/en-us/office/vba/language/reference/user-interface-help/data-type-summary" TargetMode="External"/><Relationship Id="rId1" Type="http://schemas.openxmlformats.org/officeDocument/2006/relationships/hyperlink" Target="https://en.wikipedia.org/wiki/Comparison_of_data-serialization_formats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4922-253D-4F5E-B271-93B6B917BBC9}">
  <sheetPr codeName="Sheet1"/>
  <dimension ref="A1:C11"/>
  <sheetViews>
    <sheetView showGridLines="0" showRowColHeaders="0" tabSelected="1" workbookViewId="0"/>
  </sheetViews>
  <sheetFormatPr defaultRowHeight="14.25" x14ac:dyDescent="0.45"/>
  <cols>
    <col min="7" max="7" width="9.796875" bestFit="1" customWidth="1"/>
    <col min="8" max="8" width="15.19921875" bestFit="1" customWidth="1"/>
    <col min="9" max="9" width="8.53125" bestFit="1" customWidth="1"/>
    <col min="10" max="10" width="17.796875" bestFit="1" customWidth="1"/>
    <col min="11" max="11" width="39.86328125" bestFit="1" customWidth="1"/>
    <col min="13" max="13" width="10.796875" bestFit="1" customWidth="1"/>
  </cols>
  <sheetData>
    <row r="1" spans="1:3" ht="28.5" x14ac:dyDescent="0.85">
      <c r="A1" s="1" t="s">
        <v>9</v>
      </c>
    </row>
    <row r="3" spans="1:3" x14ac:dyDescent="0.45">
      <c r="A3" t="s">
        <v>8</v>
      </c>
    </row>
    <row r="5" spans="1:3" x14ac:dyDescent="0.45">
      <c r="A5" s="13" t="s">
        <v>37</v>
      </c>
    </row>
    <row r="7" spans="1:3" x14ac:dyDescent="0.45">
      <c r="C7" t="s">
        <v>38</v>
      </c>
    </row>
    <row r="8" spans="1:3" x14ac:dyDescent="0.45">
      <c r="C8" t="s">
        <v>39</v>
      </c>
    </row>
    <row r="9" spans="1:3" x14ac:dyDescent="0.45">
      <c r="C9" t="s">
        <v>40</v>
      </c>
    </row>
    <row r="10" spans="1:3" x14ac:dyDescent="0.45">
      <c r="C10" t="s">
        <v>41</v>
      </c>
    </row>
    <row r="11" spans="1:3" x14ac:dyDescent="0.45">
      <c r="C11" t="s">
        <v>42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A5CE-C357-4358-BDDE-73720D9DB89D}">
  <sheetPr codeName="Sheet3"/>
  <dimension ref="B1:S62"/>
  <sheetViews>
    <sheetView showGridLines="0" showRowColHeaders="0" workbookViewId="0"/>
  </sheetViews>
  <sheetFormatPr defaultRowHeight="14.25" x14ac:dyDescent="0.45"/>
  <cols>
    <col min="1" max="1" width="2.53125" customWidth="1"/>
    <col min="2" max="2" width="29.3984375" bestFit="1" customWidth="1"/>
    <col min="3" max="3" width="12.19921875" bestFit="1" customWidth="1"/>
  </cols>
  <sheetData>
    <row r="1" spans="2:10" ht="28.5" x14ac:dyDescent="0.85">
      <c r="B1" s="1" t="s">
        <v>18</v>
      </c>
    </row>
    <row r="3" spans="2:10" x14ac:dyDescent="0.45">
      <c r="B3" t="s">
        <v>38</v>
      </c>
      <c r="C3" t="str" cm="1">
        <f t="array" aca="1" ref="C3" ca="1">JuliaLaunch()</f>
        <v>Julia launched in window "Julia 1.6.3 PID 17784 serving Excel PID 34280"</v>
      </c>
    </row>
    <row r="5" spans="2:10" x14ac:dyDescent="0.45">
      <c r="B5" s="13" t="s">
        <v>11</v>
      </c>
      <c r="C5" cm="1">
        <f t="array" aca="1" ref="C5" ca="1">JuliaEval(B5)</f>
        <v>2</v>
      </c>
    </row>
    <row r="7" spans="2:10" x14ac:dyDescent="0.45">
      <c r="B7" s="13" t="s">
        <v>15</v>
      </c>
      <c r="C7" cm="1">
        <f t="array" aca="1" ref="C7:G7" ca="1">JuliaEval(B7)</f>
        <v>1</v>
      </c>
      <c r="D7">
        <f ca="1"/>
        <v>2</v>
      </c>
      <c r="E7">
        <f ca="1"/>
        <v>3</v>
      </c>
      <c r="F7">
        <f ca="1"/>
        <v>4</v>
      </c>
      <c r="G7">
        <f ca="1"/>
        <v>5</v>
      </c>
    </row>
    <row r="9" spans="2:10" x14ac:dyDescent="0.45">
      <c r="B9" s="13" t="s">
        <v>126</v>
      </c>
      <c r="C9" cm="1">
        <f t="array" aca="1" ref="C9:J9" ca="1">JuliaEval(B9)</f>
        <v>1</v>
      </c>
      <c r="D9">
        <f ca="1"/>
        <v>2</v>
      </c>
      <c r="E9">
        <f ca="1"/>
        <v>3</v>
      </c>
      <c r="F9" t="str">
        <f ca="1"/>
        <v>Four</v>
      </c>
      <c r="G9">
        <f ca="1"/>
        <v>1.7976931348623157E+308</v>
      </c>
      <c r="H9" t="e">
        <f ca="1"/>
        <v>#N/A</v>
      </c>
      <c r="I9" t="str">
        <f ca="1"/>
        <v>1.6.3</v>
      </c>
      <c r="J9" t="b">
        <f ca="1"/>
        <v>1</v>
      </c>
    </row>
    <row r="11" spans="2:10" x14ac:dyDescent="0.45">
      <c r="B11" t="s">
        <v>127</v>
      </c>
      <c r="C11" t="str" cm="1">
        <f t="array" aca="1" ref="C11" ca="1">JuliaEval(B11)</f>
        <v>#(UndefVarError(:yabba))!</v>
      </c>
    </row>
    <row r="13" spans="2:10" x14ac:dyDescent="0.45">
      <c r="B13" t="s">
        <v>14</v>
      </c>
      <c r="C13" cm="1">
        <f t="array" aca="1" ref="C13:D14" ca="1">JuliaEval(B13)</f>
        <v>1</v>
      </c>
      <c r="D13">
        <f ca="1"/>
        <v>1</v>
      </c>
    </row>
    <row r="14" spans="2:10" x14ac:dyDescent="0.45">
      <c r="C14">
        <f ca="1"/>
        <v>1</v>
      </c>
      <c r="D14">
        <f ca="1"/>
        <v>1</v>
      </c>
    </row>
    <row r="16" spans="2:10" x14ac:dyDescent="0.45">
      <c r="B16" t="s">
        <v>13</v>
      </c>
      <c r="C16" t="str" cm="1">
        <f t="array" aca="1" ref="C16" ca="1">JuliaEval(B16)</f>
        <v>#JuliaEval (line 26): #ReadFileAndDecode (line 6) error reading'C:\Users\phili\AppData\Local\Temp\VBAInterop\VBAInteropResult_31672.txt' #Decode (line 64): Cannot decode arrays with more than 2 dimensions!!!</v>
      </c>
    </row>
    <row r="17" spans="2:19" x14ac:dyDescent="0.45">
      <c r="B17" t="s">
        <v>125</v>
      </c>
      <c r="C17" t="str" cm="1">
        <f t="array" aca="1" ref="C17" ca="1">JuliaEval(B17)</f>
        <v>#JuliaEval (line 26): #ReadFileAndDecode (line 6) error reading'C:\Users\phili\AppData\Local\Temp\VBAInterop\VBAInteropResult_31672.txt' #Decode (line 37): Cannot create array of size zero!!!</v>
      </c>
    </row>
    <row r="18" spans="2:19" x14ac:dyDescent="0.45">
      <c r="B18" t="s">
        <v>128</v>
      </c>
      <c r="C18" t="str" cm="1">
        <f t="array" aca="1" ref="C18" ca="1">JuliaEval(B18)</f>
        <v>#JuliaEval (line 14): #ReadFileAndDecode (line 6) error reading'C:\Users\phili\AppData\Local\Temp\VBAInterop\VBAInteropResult_34280.txt' #Decode (line 42): #Decode (line 37): Cannot create array of size zero!!!!</v>
      </c>
    </row>
    <row r="19" spans="2:19" x14ac:dyDescent="0.45">
      <c r="B19" s="13" t="s">
        <v>129</v>
      </c>
      <c r="C19" t="e" cm="1">
        <f t="array" aca="1" ref="C19" ca="1">JuliaEval(B19)</f>
        <v>#VALUE!</v>
      </c>
    </row>
    <row r="20" spans="2:19" x14ac:dyDescent="0.45">
      <c r="B20" s="13" t="s">
        <v>16</v>
      </c>
      <c r="C20" cm="1">
        <f t="array" aca="1" ref="C20" ca="1">JuliaEval(B20)</f>
        <v>0</v>
      </c>
    </row>
    <row r="22" spans="2:19" x14ac:dyDescent="0.45">
      <c r="B22" t="s">
        <v>17</v>
      </c>
      <c r="C22" cm="1">
        <f t="array" aca="1" ref="C22" ca="1">JuliaEval(B22)</f>
        <v>0</v>
      </c>
    </row>
    <row r="24" spans="2:19" x14ac:dyDescent="0.45">
      <c r="B24" s="15" t="s">
        <v>28</v>
      </c>
      <c r="C24" cm="1">
        <f t="array" aca="1" ref="C24:C27" ca="1">JuliaEval(B24)</f>
        <v>1</v>
      </c>
    </row>
    <row r="25" spans="2:19" x14ac:dyDescent="0.45">
      <c r="C25">
        <f ca="1"/>
        <v>2</v>
      </c>
    </row>
    <row r="26" spans="2:19" x14ac:dyDescent="0.45">
      <c r="C26">
        <f ca="1"/>
        <v>3</v>
      </c>
    </row>
    <row r="27" spans="2:19" x14ac:dyDescent="0.45">
      <c r="C27">
        <f ca="1"/>
        <v>4</v>
      </c>
    </row>
    <row r="29" spans="2:19" x14ac:dyDescent="0.45">
      <c r="B29" s="15" t="s">
        <v>21</v>
      </c>
      <c r="C29" cm="1">
        <f t="array" aca="1" ref="C29:E31" ca="1">JuliaEval(B29)</f>
        <v>2</v>
      </c>
      <c r="D29">
        <f ca="1"/>
        <v>3</v>
      </c>
      <c r="E29">
        <f ca="1"/>
        <v>4</v>
      </c>
      <c r="G29" s="13"/>
    </row>
    <row r="30" spans="2:19" x14ac:dyDescent="0.45">
      <c r="C30">
        <f ca="1"/>
        <v>3</v>
      </c>
      <c r="D30">
        <f ca="1"/>
        <v>4</v>
      </c>
      <c r="E30">
        <f ca="1"/>
        <v>5</v>
      </c>
    </row>
    <row r="31" spans="2:19" x14ac:dyDescent="0.45">
      <c r="C31">
        <f ca="1"/>
        <v>4</v>
      </c>
      <c r="D31">
        <f ca="1"/>
        <v>5</v>
      </c>
      <c r="E31">
        <f ca="1"/>
        <v>6</v>
      </c>
      <c r="S31" s="13"/>
    </row>
    <row r="33" spans="2:5" x14ac:dyDescent="0.45">
      <c r="B33" s="13" t="s">
        <v>22</v>
      </c>
      <c r="C33" cm="1">
        <f t="array" aca="1" ref="C33:C35" ca="1">JuliaEval(B33)</f>
        <v>1</v>
      </c>
    </row>
    <row r="34" spans="2:5" x14ac:dyDescent="0.45">
      <c r="C34">
        <f ca="1"/>
        <v>2</v>
      </c>
    </row>
    <row r="35" spans="2:5" x14ac:dyDescent="0.45">
      <c r="C35">
        <f ca="1"/>
        <v>3</v>
      </c>
    </row>
    <row r="38" spans="2:5" x14ac:dyDescent="0.45">
      <c r="B38" s="13" t="s">
        <v>23</v>
      </c>
      <c r="C38" cm="1">
        <f t="array" aca="1" ref="C38:E38" ca="1">JuliaEval(B38)</f>
        <v>1</v>
      </c>
      <c r="D38">
        <f ca="1"/>
        <v>2</v>
      </c>
      <c r="E38">
        <f ca="1"/>
        <v>0</v>
      </c>
    </row>
    <row r="41" spans="2:5" x14ac:dyDescent="0.45">
      <c r="B41" t="s">
        <v>24</v>
      </c>
      <c r="C41" cm="1">
        <f t="array" aca="1" ref="C41" ca="1">JuliaEval(B41)</f>
        <v>1.7976931348623157E+308</v>
      </c>
    </row>
    <row r="42" spans="2:5" x14ac:dyDescent="0.45">
      <c r="B42" s="13" t="s">
        <v>123</v>
      </c>
      <c r="C42" cm="1">
        <f t="array" aca="1" ref="C42" ca="1">JuliaEval(B42)</f>
        <v>-1.7976931348623157E+308</v>
      </c>
    </row>
    <row r="43" spans="2:5" x14ac:dyDescent="0.45">
      <c r="B43" s="13" t="s">
        <v>122</v>
      </c>
      <c r="C43" t="e" cm="1">
        <f t="array" aca="1" ref="C43" ca="1">JuliaEval(B43)</f>
        <v>#N/A</v>
      </c>
    </row>
    <row r="45" spans="2:5" x14ac:dyDescent="0.45">
      <c r="B45" t="s">
        <v>29</v>
      </c>
      <c r="C45" t="str" cm="1">
        <f t="array" aca="1" ref="C45" ca="1">JuliaEval(B45)</f>
        <v>1.6.3</v>
      </c>
    </row>
    <row r="48" spans="2:5" x14ac:dyDescent="0.45">
      <c r="B48" t="s">
        <v>30</v>
      </c>
      <c r="C48" t="str" cm="1">
        <f t="array" aca="1" ref="C48" ca="1">JuliaEval(B48)</f>
        <v>#JuliaEval (line 24): The expression evaluated caused Julia to shut down!</v>
      </c>
    </row>
    <row r="53" spans="2:3" x14ac:dyDescent="0.45">
      <c r="B53" t="s">
        <v>35</v>
      </c>
    </row>
    <row r="54" spans="2:3" x14ac:dyDescent="0.45">
      <c r="B54">
        <v>1</v>
      </c>
      <c r="C54" t="str" cm="1">
        <f t="array" aca="1" ref="C54" ca="1">JuliaSetVar(B53,B54:B62)</f>
        <v>#`marie-veronique` is not an allowed variable name in Julia!</v>
      </c>
    </row>
    <row r="55" spans="2:3" x14ac:dyDescent="0.45">
      <c r="B55">
        <v>2</v>
      </c>
    </row>
    <row r="56" spans="2:3" x14ac:dyDescent="0.45">
      <c r="B56">
        <v>3</v>
      </c>
    </row>
    <row r="57" spans="2:3" x14ac:dyDescent="0.45">
      <c r="B57">
        <v>4</v>
      </c>
    </row>
    <row r="58" spans="2:3" x14ac:dyDescent="0.45">
      <c r="B58">
        <v>5</v>
      </c>
    </row>
    <row r="59" spans="2:3" x14ac:dyDescent="0.45">
      <c r="B59">
        <v>6</v>
      </c>
    </row>
    <row r="60" spans="2:3" x14ac:dyDescent="0.45">
      <c r="B60">
        <v>7</v>
      </c>
    </row>
    <row r="61" spans="2:3" x14ac:dyDescent="0.45">
      <c r="B61">
        <v>8</v>
      </c>
    </row>
    <row r="62" spans="2:3" x14ac:dyDescent="0.45">
      <c r="B62">
        <v>9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DFD95-5829-4E74-84D7-F863C818474B}">
  <sheetPr codeName="Sheet4"/>
  <dimension ref="A1:AC42"/>
  <sheetViews>
    <sheetView showGridLines="0" showRowColHeaders="0" workbookViewId="0"/>
  </sheetViews>
  <sheetFormatPr defaultRowHeight="14.25" x14ac:dyDescent="0.45"/>
  <cols>
    <col min="1" max="1" width="12.53125" bestFit="1" customWidth="1"/>
    <col min="2" max="2" width="16.1328125" bestFit="1" customWidth="1"/>
    <col min="3" max="3" width="9.796875" bestFit="1" customWidth="1"/>
    <col min="5" max="5" width="17.265625" bestFit="1" customWidth="1"/>
  </cols>
  <sheetData>
    <row r="1" spans="1:6" ht="28.5" x14ac:dyDescent="0.85">
      <c r="A1" s="1" t="s">
        <v>50</v>
      </c>
    </row>
    <row r="3" spans="1:6" x14ac:dyDescent="0.45">
      <c r="A3" t="s">
        <v>51</v>
      </c>
      <c r="B3" t="s">
        <v>50</v>
      </c>
    </row>
    <row r="5" spans="1:6" x14ac:dyDescent="0.45">
      <c r="A5" t="s">
        <v>52</v>
      </c>
      <c r="B5" s="13" t="s">
        <v>53</v>
      </c>
    </row>
    <row r="7" spans="1:6" x14ac:dyDescent="0.45">
      <c r="A7" t="s">
        <v>54</v>
      </c>
      <c r="B7" s="13" t="s">
        <v>55</v>
      </c>
    </row>
    <row r="9" spans="1:6" x14ac:dyDescent="0.45">
      <c r="A9" t="s">
        <v>56</v>
      </c>
      <c r="B9" s="13" t="s">
        <v>57</v>
      </c>
    </row>
    <row r="11" spans="1:6" x14ac:dyDescent="0.45">
      <c r="A11" t="s">
        <v>58</v>
      </c>
      <c r="B11" t="s">
        <v>59</v>
      </c>
      <c r="C11" t="s">
        <v>60</v>
      </c>
      <c r="D11" t="s">
        <v>61</v>
      </c>
      <c r="E11" t="s">
        <v>62</v>
      </c>
    </row>
    <row r="12" spans="1:6" x14ac:dyDescent="0.45">
      <c r="A12" t="s">
        <v>63</v>
      </c>
      <c r="B12" t="s">
        <v>64</v>
      </c>
      <c r="C12" t="s">
        <v>65</v>
      </c>
      <c r="E12" s="13" t="s">
        <v>66</v>
      </c>
      <c r="F12" cm="1">
        <f t="array" aca="1" ref="F12" ca="1">decode_from_mff(E12)</f>
        <v>3.14159265358979</v>
      </c>
    </row>
    <row r="13" spans="1:6" x14ac:dyDescent="0.45">
      <c r="A13" t="s">
        <v>67</v>
      </c>
      <c r="B13" t="s">
        <v>68</v>
      </c>
      <c r="C13" t="s">
        <v>68</v>
      </c>
      <c r="E13" t="s">
        <v>69</v>
      </c>
      <c r="F13" cm="1">
        <f t="array" aca="1" ref="F13" ca="1">decode_from_mff(E13)</f>
        <v>3.14159265358979</v>
      </c>
    </row>
    <row r="14" spans="1:6" x14ac:dyDescent="0.45">
      <c r="A14" t="s" cm="1">
        <v>70</v>
      </c>
      <c r="B14" s="13" t="s">
        <v>71</v>
      </c>
    </row>
    <row r="15" spans="1:6" x14ac:dyDescent="0.45">
      <c r="A15" t="s" cm="1">
        <v>72</v>
      </c>
      <c r="B15" t="s" cm="1">
        <v>73</v>
      </c>
      <c r="C15" t="s">
        <v>74</v>
      </c>
      <c r="E15" s="18" t="s">
        <v>75</v>
      </c>
      <c r="F15" cm="1">
        <f t="array" aca="1" ref="F15" ca="1">decode_from_mff(E15)</f>
        <v>100</v>
      </c>
    </row>
    <row r="16" spans="1:6" x14ac:dyDescent="0.45">
      <c r="A16" t="s" cm="1">
        <v>76</v>
      </c>
      <c r="B16" t="s" cm="1">
        <v>77</v>
      </c>
      <c r="C16" t="s">
        <v>78</v>
      </c>
      <c r="E16" t="s">
        <v>79</v>
      </c>
      <c r="F16" cm="1">
        <f t="array" aca="1" ref="F16" ca="1">decode_from_mff(E16)</f>
        <v>12345</v>
      </c>
    </row>
    <row r="17" spans="1:29" x14ac:dyDescent="0.45">
      <c r="A17" t="s" cm="1">
        <v>80</v>
      </c>
      <c r="B17" t="s" cm="1">
        <v>81</v>
      </c>
      <c r="G17" s="19" t="s">
        <v>82</v>
      </c>
    </row>
    <row r="18" spans="1:29" x14ac:dyDescent="0.45">
      <c r="A18" t="s" cm="1">
        <v>83</v>
      </c>
      <c r="B18" t="s" cm="1">
        <v>84</v>
      </c>
      <c r="G18" t="s">
        <v>85</v>
      </c>
      <c r="T18" cm="1">
        <f t="array" aca="1" ref="T18:AC27" ca="1">_xlfn.SEQUENCE(10,10)</f>
        <v>1</v>
      </c>
      <c r="U18">
        <f ca="1"/>
        <v>2</v>
      </c>
      <c r="V18">
        <f ca="1"/>
        <v>3</v>
      </c>
      <c r="W18">
        <f ca="1"/>
        <v>4</v>
      </c>
      <c r="X18">
        <f ca="1"/>
        <v>5</v>
      </c>
      <c r="Y18">
        <f ca="1"/>
        <v>6</v>
      </c>
      <c r="Z18">
        <f ca="1"/>
        <v>7</v>
      </c>
      <c r="AA18">
        <f ca="1"/>
        <v>8</v>
      </c>
      <c r="AB18">
        <f ca="1"/>
        <v>9</v>
      </c>
      <c r="AC18">
        <f ca="1"/>
        <v>10</v>
      </c>
    </row>
    <row r="19" spans="1:29" x14ac:dyDescent="0.45">
      <c r="A19" t="s" cm="1">
        <v>86</v>
      </c>
      <c r="B19" t="s" cm="1">
        <v>2</v>
      </c>
      <c r="T19">
        <f ca="1"/>
        <v>11</v>
      </c>
      <c r="U19">
        <f ca="1"/>
        <v>12</v>
      </c>
      <c r="V19">
        <f ca="1"/>
        <v>13</v>
      </c>
      <c r="W19">
        <f ca="1"/>
        <v>14</v>
      </c>
      <c r="X19">
        <f ca="1"/>
        <v>15</v>
      </c>
      <c r="Y19">
        <f ca="1"/>
        <v>16</v>
      </c>
      <c r="Z19">
        <f ca="1"/>
        <v>17</v>
      </c>
      <c r="AA19">
        <f ca="1"/>
        <v>18</v>
      </c>
      <c r="AB19">
        <f ca="1"/>
        <v>19</v>
      </c>
      <c r="AC19">
        <f ca="1"/>
        <v>20</v>
      </c>
    </row>
    <row r="20" spans="1:29" x14ac:dyDescent="0.45">
      <c r="A20" t="s" cm="1">
        <v>87</v>
      </c>
      <c r="B20" t="s" cm="1">
        <v>88</v>
      </c>
      <c r="E20" t="s">
        <v>87</v>
      </c>
      <c r="F20" cm="1">
        <f t="array" aca="1" ref="F20" ca="1">decode_from_mff(E20)</f>
        <v>0</v>
      </c>
      <c r="T20">
        <f ca="1"/>
        <v>21</v>
      </c>
      <c r="U20">
        <f ca="1"/>
        <v>22</v>
      </c>
      <c r="V20">
        <f ca="1"/>
        <v>23</v>
      </c>
      <c r="W20">
        <f ca="1"/>
        <v>24</v>
      </c>
      <c r="X20">
        <f ca="1"/>
        <v>25</v>
      </c>
      <c r="Y20">
        <f ca="1"/>
        <v>26</v>
      </c>
      <c r="Z20">
        <f ca="1"/>
        <v>27</v>
      </c>
      <c r="AA20">
        <f ca="1"/>
        <v>28</v>
      </c>
      <c r="AB20">
        <f ca="1"/>
        <v>29</v>
      </c>
      <c r="AC20">
        <f ca="1"/>
        <v>30</v>
      </c>
    </row>
    <row r="21" spans="1:29" x14ac:dyDescent="0.45">
      <c r="A21" t="s" cm="1">
        <v>89</v>
      </c>
      <c r="B21" t="s">
        <v>90</v>
      </c>
      <c r="T21">
        <f ca="1"/>
        <v>31</v>
      </c>
      <c r="U21">
        <f ca="1"/>
        <v>32</v>
      </c>
      <c r="V21">
        <f ca="1"/>
        <v>33</v>
      </c>
      <c r="W21">
        <f ca="1"/>
        <v>34</v>
      </c>
      <c r="X21">
        <f ca="1"/>
        <v>35</v>
      </c>
      <c r="Y21">
        <f ca="1"/>
        <v>36</v>
      </c>
      <c r="Z21">
        <f ca="1"/>
        <v>37</v>
      </c>
      <c r="AA21">
        <f ca="1"/>
        <v>38</v>
      </c>
      <c r="AB21">
        <f ca="1"/>
        <v>39</v>
      </c>
      <c r="AC21">
        <f ca="1"/>
        <v>40</v>
      </c>
    </row>
    <row r="22" spans="1:29" x14ac:dyDescent="0.45">
      <c r="A22" t="s" cm="1">
        <v>91</v>
      </c>
      <c r="B22" t="s" cm="1">
        <v>92</v>
      </c>
      <c r="E22" t="s">
        <v>91</v>
      </c>
      <c r="F22" cm="1">
        <f t="array" aca="1" ref="F22" ca="1">decode_from_mff(E22)</f>
        <v>0</v>
      </c>
      <c r="T22">
        <f ca="1"/>
        <v>41</v>
      </c>
      <c r="U22">
        <f ca="1"/>
        <v>42</v>
      </c>
      <c r="V22">
        <f ca="1"/>
        <v>43</v>
      </c>
      <c r="W22">
        <f ca="1"/>
        <v>44</v>
      </c>
      <c r="X22">
        <f ca="1"/>
        <v>45</v>
      </c>
      <c r="Y22">
        <f ca="1"/>
        <v>46</v>
      </c>
      <c r="Z22">
        <f ca="1"/>
        <v>47</v>
      </c>
      <c r="AA22">
        <f ca="1"/>
        <v>48</v>
      </c>
      <c r="AB22">
        <f ca="1"/>
        <v>49</v>
      </c>
      <c r="AC22">
        <f ca="1"/>
        <v>50</v>
      </c>
    </row>
    <row r="23" spans="1:29" x14ac:dyDescent="0.45">
      <c r="A23" t="s" cm="1">
        <v>93</v>
      </c>
      <c r="B23" t="s" cm="1">
        <v>94</v>
      </c>
      <c r="C23" t="s">
        <v>95</v>
      </c>
      <c r="E23" t="s">
        <v>96</v>
      </c>
      <c r="F23" cm="1">
        <f t="array" aca="1" ref="F23" ca="1">decode_from_mff(E23)</f>
        <v>123</v>
      </c>
      <c r="T23">
        <f ca="1"/>
        <v>51</v>
      </c>
      <c r="U23">
        <f ca="1"/>
        <v>52</v>
      </c>
      <c r="V23">
        <f ca="1"/>
        <v>53</v>
      </c>
      <c r="W23">
        <f ca="1"/>
        <v>54</v>
      </c>
      <c r="X23">
        <f ca="1"/>
        <v>55</v>
      </c>
      <c r="Y23">
        <f ca="1"/>
        <v>56</v>
      </c>
      <c r="Z23">
        <f ca="1"/>
        <v>57</v>
      </c>
      <c r="AA23">
        <f ca="1"/>
        <v>58</v>
      </c>
      <c r="AB23">
        <f ca="1"/>
        <v>59</v>
      </c>
      <c r="AC23">
        <f ca="1"/>
        <v>60</v>
      </c>
    </row>
    <row r="24" spans="1:29" x14ac:dyDescent="0.45">
      <c r="A24" t="s" cm="1">
        <v>97</v>
      </c>
      <c r="B24" s="13" t="s">
        <v>98</v>
      </c>
      <c r="C24" t="s">
        <v>99</v>
      </c>
      <c r="E24" t="s">
        <v>97</v>
      </c>
      <c r="F24" t="b" cm="1">
        <f t="array" aca="1" ref="F24" ca="1">decode_from_mff(E24)</f>
        <v>1</v>
      </c>
      <c r="T24">
        <f ca="1"/>
        <v>61</v>
      </c>
      <c r="U24">
        <f ca="1"/>
        <v>62</v>
      </c>
      <c r="V24">
        <f ca="1"/>
        <v>63</v>
      </c>
      <c r="W24">
        <f ca="1"/>
        <v>64</v>
      </c>
      <c r="X24">
        <f ca="1"/>
        <v>65</v>
      </c>
      <c r="Y24">
        <f ca="1"/>
        <v>66</v>
      </c>
      <c r="Z24">
        <f ca="1"/>
        <v>67</v>
      </c>
      <c r="AA24">
        <f ca="1"/>
        <v>68</v>
      </c>
      <c r="AB24">
        <f ca="1"/>
        <v>69</v>
      </c>
      <c r="AC24">
        <f ca="1"/>
        <v>70</v>
      </c>
    </row>
    <row r="25" spans="1:29" x14ac:dyDescent="0.45">
      <c r="A25" t="s">
        <v>100</v>
      </c>
      <c r="B25" s="13" t="s">
        <v>101</v>
      </c>
      <c r="C25" t="s">
        <v>99</v>
      </c>
      <c r="E25" t="s">
        <v>100</v>
      </c>
      <c r="F25" t="b" cm="1">
        <f t="array" aca="1" ref="F25" ca="1">decode_from_mff(E25)</f>
        <v>0</v>
      </c>
      <c r="T25">
        <f ca="1"/>
        <v>71</v>
      </c>
      <c r="U25">
        <f ca="1"/>
        <v>72</v>
      </c>
      <c r="V25">
        <f ca="1"/>
        <v>73</v>
      </c>
      <c r="W25">
        <f ca="1"/>
        <v>74</v>
      </c>
      <c r="X25">
        <f ca="1"/>
        <v>75</v>
      </c>
      <c r="Y25">
        <f ca="1"/>
        <v>76</v>
      </c>
      <c r="Z25">
        <f ca="1"/>
        <v>77</v>
      </c>
      <c r="AA25">
        <f ca="1"/>
        <v>78</v>
      </c>
      <c r="AB25">
        <f ca="1"/>
        <v>79</v>
      </c>
      <c r="AC25">
        <f ca="1"/>
        <v>80</v>
      </c>
    </row>
    <row r="26" spans="1:29" x14ac:dyDescent="0.45">
      <c r="A26" t="s">
        <v>102</v>
      </c>
      <c r="B26" s="13" t="s">
        <v>103</v>
      </c>
      <c r="T26">
        <f ca="1"/>
        <v>81</v>
      </c>
      <c r="U26">
        <f ca="1"/>
        <v>82</v>
      </c>
      <c r="V26">
        <f ca="1"/>
        <v>83</v>
      </c>
      <c r="W26">
        <f ca="1"/>
        <v>84</v>
      </c>
      <c r="X26">
        <f ca="1"/>
        <v>85</v>
      </c>
      <c r="Y26">
        <f ca="1"/>
        <v>86</v>
      </c>
      <c r="Z26">
        <f ca="1"/>
        <v>87</v>
      </c>
      <c r="AA26">
        <f ca="1"/>
        <v>88</v>
      </c>
      <c r="AB26">
        <f ca="1"/>
        <v>89</v>
      </c>
      <c r="AC26">
        <f ca="1"/>
        <v>90</v>
      </c>
    </row>
    <row r="27" spans="1:29" x14ac:dyDescent="0.45">
      <c r="T27">
        <f ca="1"/>
        <v>91</v>
      </c>
      <c r="U27">
        <f ca="1"/>
        <v>92</v>
      </c>
      <c r="V27">
        <f ca="1"/>
        <v>93</v>
      </c>
      <c r="W27">
        <f ca="1"/>
        <v>94</v>
      </c>
      <c r="X27">
        <f ca="1"/>
        <v>95</v>
      </c>
      <c r="Y27">
        <f ca="1"/>
        <v>96</v>
      </c>
      <c r="Z27">
        <f ca="1"/>
        <v>97</v>
      </c>
      <c r="AA27">
        <f ca="1"/>
        <v>98</v>
      </c>
      <c r="AB27">
        <f ca="1"/>
        <v>99</v>
      </c>
      <c r="AC27">
        <f ca="1"/>
        <v>100</v>
      </c>
    </row>
    <row r="28" spans="1:29" x14ac:dyDescent="0.45">
      <c r="A28" t="s">
        <v>104</v>
      </c>
    </row>
    <row r="29" spans="1:29" x14ac:dyDescent="0.45">
      <c r="A29" s="19" t="s">
        <v>105</v>
      </c>
      <c r="T29" t="s">
        <v>121</v>
      </c>
    </row>
    <row r="30" spans="1:29" x14ac:dyDescent="0.45">
      <c r="A30" s="19" t="s">
        <v>106</v>
      </c>
    </row>
    <row r="31" spans="1:29" x14ac:dyDescent="0.45">
      <c r="T31" t="str" cm="1">
        <f t="array" aca="1" ref="T31" ca="1">MyFileFormatWrite(_xlfn.ANCHORARRAY(T18),T29)</f>
        <v>c:\temp\test100.mff</v>
      </c>
    </row>
    <row r="32" spans="1:29" x14ac:dyDescent="0.45">
      <c r="A32" t="s">
        <v>107</v>
      </c>
      <c r="B32" s="13" t="s">
        <v>108</v>
      </c>
    </row>
    <row r="33" spans="1:29" x14ac:dyDescent="0.45">
      <c r="T33" cm="1">
        <f t="array" aca="1" ref="T33:AC42" ca="1">MyFileFormatRead(T31)</f>
        <v>1</v>
      </c>
      <c r="U33">
        <f ca="1"/>
        <v>2</v>
      </c>
      <c r="V33">
        <f ca="1"/>
        <v>3</v>
      </c>
      <c r="W33">
        <f ca="1"/>
        <v>4</v>
      </c>
      <c r="X33">
        <f ca="1"/>
        <v>5</v>
      </c>
      <c r="Y33">
        <f ca="1"/>
        <v>6</v>
      </c>
      <c r="Z33">
        <f ca="1"/>
        <v>7</v>
      </c>
      <c r="AA33">
        <f ca="1"/>
        <v>8</v>
      </c>
      <c r="AB33">
        <f ca="1"/>
        <v>9</v>
      </c>
      <c r="AC33">
        <f ca="1"/>
        <v>10</v>
      </c>
    </row>
    <row r="34" spans="1:29" x14ac:dyDescent="0.45">
      <c r="B34" t="s">
        <v>109</v>
      </c>
      <c r="T34">
        <f ca="1"/>
        <v>11</v>
      </c>
      <c r="U34">
        <f ca="1"/>
        <v>12</v>
      </c>
      <c r="V34">
        <f ca="1"/>
        <v>13</v>
      </c>
      <c r="W34">
        <f ca="1"/>
        <v>14</v>
      </c>
      <c r="X34">
        <f ca="1"/>
        <v>15</v>
      </c>
      <c r="Y34">
        <f ca="1"/>
        <v>16</v>
      </c>
      <c r="Z34">
        <f ca="1"/>
        <v>17</v>
      </c>
      <c r="AA34">
        <f ca="1"/>
        <v>18</v>
      </c>
      <c r="AB34">
        <f ca="1"/>
        <v>19</v>
      </c>
      <c r="AC34">
        <f ca="1"/>
        <v>20</v>
      </c>
    </row>
    <row r="35" spans="1:29" x14ac:dyDescent="0.45">
      <c r="B35" s="13" t="s">
        <v>110</v>
      </c>
      <c r="T35">
        <f ca="1"/>
        <v>21</v>
      </c>
      <c r="U35">
        <f ca="1"/>
        <v>22</v>
      </c>
      <c r="V35">
        <f ca="1"/>
        <v>23</v>
      </c>
      <c r="W35">
        <f ca="1"/>
        <v>24</v>
      </c>
      <c r="X35">
        <f ca="1"/>
        <v>25</v>
      </c>
      <c r="Y35">
        <f ca="1"/>
        <v>26</v>
      </c>
      <c r="Z35">
        <f ca="1"/>
        <v>27</v>
      </c>
      <c r="AA35">
        <f ca="1"/>
        <v>28</v>
      </c>
      <c r="AB35">
        <f ca="1"/>
        <v>29</v>
      </c>
      <c r="AC35">
        <f ca="1"/>
        <v>30</v>
      </c>
    </row>
    <row r="36" spans="1:29" x14ac:dyDescent="0.45">
      <c r="B36" t="s">
        <v>111</v>
      </c>
      <c r="T36">
        <f ca="1"/>
        <v>31</v>
      </c>
      <c r="U36">
        <f ca="1"/>
        <v>32</v>
      </c>
      <c r="V36">
        <f ca="1"/>
        <v>33</v>
      </c>
      <c r="W36">
        <f ca="1"/>
        <v>34</v>
      </c>
      <c r="X36">
        <f ca="1"/>
        <v>35</v>
      </c>
      <c r="Y36">
        <f ca="1"/>
        <v>36</v>
      </c>
      <c r="Z36">
        <f ca="1"/>
        <v>37</v>
      </c>
      <c r="AA36">
        <f ca="1"/>
        <v>38</v>
      </c>
      <c r="AB36">
        <f ca="1"/>
        <v>39</v>
      </c>
      <c r="AC36">
        <f ca="1"/>
        <v>40</v>
      </c>
    </row>
    <row r="37" spans="1:29" x14ac:dyDescent="0.45">
      <c r="T37">
        <f ca="1"/>
        <v>41</v>
      </c>
      <c r="U37">
        <f ca="1"/>
        <v>42</v>
      </c>
      <c r="V37">
        <f ca="1"/>
        <v>43</v>
      </c>
      <c r="W37">
        <f ca="1"/>
        <v>44</v>
      </c>
      <c r="X37">
        <f ca="1"/>
        <v>45</v>
      </c>
      <c r="Y37">
        <f ca="1"/>
        <v>46</v>
      </c>
      <c r="Z37">
        <f ca="1"/>
        <v>47</v>
      </c>
      <c r="AA37">
        <f ca="1"/>
        <v>48</v>
      </c>
      <c r="AB37">
        <f ca="1"/>
        <v>49</v>
      </c>
      <c r="AC37">
        <f ca="1"/>
        <v>50</v>
      </c>
    </row>
    <row r="38" spans="1:29" x14ac:dyDescent="0.45">
      <c r="A38" s="13" t="s">
        <v>112</v>
      </c>
      <c r="B38" t="s">
        <v>113</v>
      </c>
      <c r="C38" t="s">
        <v>114</v>
      </c>
      <c r="D38" t="s">
        <v>62</v>
      </c>
      <c r="T38">
        <f ca="1"/>
        <v>51</v>
      </c>
      <c r="U38">
        <f ca="1"/>
        <v>52</v>
      </c>
      <c r="V38">
        <f ca="1"/>
        <v>53</v>
      </c>
      <c r="W38">
        <f ca="1"/>
        <v>54</v>
      </c>
      <c r="X38">
        <f ca="1"/>
        <v>55</v>
      </c>
      <c r="Y38">
        <f ca="1"/>
        <v>56</v>
      </c>
      <c r="Z38">
        <f ca="1"/>
        <v>57</v>
      </c>
      <c r="AA38">
        <f ca="1"/>
        <v>58</v>
      </c>
      <c r="AB38">
        <f ca="1"/>
        <v>59</v>
      </c>
      <c r="AC38">
        <f ca="1"/>
        <v>60</v>
      </c>
    </row>
    <row r="39" spans="1:29" x14ac:dyDescent="0.45">
      <c r="B39" t="s">
        <v>115</v>
      </c>
      <c r="C39" t="s">
        <v>116</v>
      </c>
      <c r="D39" t="s">
        <v>117</v>
      </c>
      <c r="T39">
        <f ca="1"/>
        <v>61</v>
      </c>
      <c r="U39">
        <f ca="1"/>
        <v>62</v>
      </c>
      <c r="V39">
        <f ca="1"/>
        <v>63</v>
      </c>
      <c r="W39">
        <f ca="1"/>
        <v>64</v>
      </c>
      <c r="X39">
        <f ca="1"/>
        <v>65</v>
      </c>
      <c r="Y39">
        <f ca="1"/>
        <v>66</v>
      </c>
      <c r="Z39">
        <f ca="1"/>
        <v>67</v>
      </c>
      <c r="AA39">
        <f ca="1"/>
        <v>68</v>
      </c>
      <c r="AB39">
        <f ca="1"/>
        <v>69</v>
      </c>
      <c r="AC39">
        <f ca="1"/>
        <v>70</v>
      </c>
    </row>
    <row r="40" spans="1:29" x14ac:dyDescent="0.45">
      <c r="B40" s="13" t="s">
        <v>118</v>
      </c>
      <c r="C40" t="s">
        <v>119</v>
      </c>
      <c r="D40" t="s">
        <v>120</v>
      </c>
      <c r="T40">
        <f ca="1"/>
        <v>71</v>
      </c>
      <c r="U40">
        <f ca="1"/>
        <v>72</v>
      </c>
      <c r="V40">
        <f ca="1"/>
        <v>73</v>
      </c>
      <c r="W40">
        <f ca="1"/>
        <v>74</v>
      </c>
      <c r="X40">
        <f ca="1"/>
        <v>75</v>
      </c>
      <c r="Y40">
        <f ca="1"/>
        <v>76</v>
      </c>
      <c r="Z40">
        <f ca="1"/>
        <v>77</v>
      </c>
      <c r="AA40">
        <f ca="1"/>
        <v>78</v>
      </c>
      <c r="AB40">
        <f ca="1"/>
        <v>79</v>
      </c>
      <c r="AC40">
        <f ca="1"/>
        <v>80</v>
      </c>
    </row>
    <row r="41" spans="1:29" x14ac:dyDescent="0.45">
      <c r="T41">
        <f ca="1"/>
        <v>81</v>
      </c>
      <c r="U41">
        <f ca="1"/>
        <v>82</v>
      </c>
      <c r="V41">
        <f ca="1"/>
        <v>83</v>
      </c>
      <c r="W41">
        <f ca="1"/>
        <v>84</v>
      </c>
      <c r="X41">
        <f ca="1"/>
        <v>85</v>
      </c>
      <c r="Y41">
        <f ca="1"/>
        <v>86</v>
      </c>
      <c r="Z41">
        <f ca="1"/>
        <v>87</v>
      </c>
      <c r="AA41">
        <f ca="1"/>
        <v>88</v>
      </c>
      <c r="AB41">
        <f ca="1"/>
        <v>89</v>
      </c>
      <c r="AC41">
        <f ca="1"/>
        <v>90</v>
      </c>
    </row>
    <row r="42" spans="1:29" x14ac:dyDescent="0.45">
      <c r="T42">
        <f ca="1"/>
        <v>91</v>
      </c>
      <c r="U42">
        <f ca="1"/>
        <v>92</v>
      </c>
      <c r="V42">
        <f ca="1"/>
        <v>93</v>
      </c>
      <c r="W42">
        <f ca="1"/>
        <v>94</v>
      </c>
      <c r="X42">
        <f ca="1"/>
        <v>95</v>
      </c>
      <c r="Y42">
        <f ca="1"/>
        <v>96</v>
      </c>
      <c r="Z42">
        <f ca="1"/>
        <v>97</v>
      </c>
      <c r="AA42">
        <f ca="1"/>
        <v>98</v>
      </c>
      <c r="AB42">
        <f ca="1"/>
        <v>99</v>
      </c>
      <c r="AC42">
        <f ca="1"/>
        <v>100</v>
      </c>
    </row>
  </sheetData>
  <sheetProtection sheet="1" objects="1" scenarios="1"/>
  <hyperlinks>
    <hyperlink ref="A30" r:id="rId1" xr:uid="{DD9A5F4A-25AD-4316-80CD-883ADC3EAF79}"/>
    <hyperlink ref="A29" r:id="rId2" xr:uid="{74C00B26-0018-4BCC-B792-349F84C24702}"/>
    <hyperlink ref="G17" r:id="rId3" xr:uid="{0A64E4F4-8C0D-4D97-9DDC-C42AEFDB35F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5489-1C43-4001-909A-9769C5DBD1FB}">
  <sheetPr codeName="Sheet2"/>
  <dimension ref="B1:H42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96875" customWidth="1"/>
    <col min="3" max="3" width="11.86328125" customWidth="1"/>
    <col min="4" max="4" width="5.46484375" customWidth="1"/>
    <col min="5" max="5" width="14.796875" customWidth="1"/>
    <col min="6" max="6" width="155.46484375" customWidth="1"/>
  </cols>
  <sheetData>
    <row r="1" spans="2:8" ht="28.5" x14ac:dyDescent="0.85">
      <c r="B1" s="1" t="s">
        <v>0</v>
      </c>
    </row>
    <row r="5" spans="2:8" x14ac:dyDescent="0.45">
      <c r="B5" s="2" t="s">
        <v>1</v>
      </c>
      <c r="C5" s="6" t="s">
        <v>2</v>
      </c>
      <c r="D5" s="21" t="s">
        <v>3</v>
      </c>
      <c r="E5" s="3" t="s">
        <v>4</v>
      </c>
      <c r="F5" s="8" t="s">
        <v>5</v>
      </c>
      <c r="H5" s="16" t="s">
        <v>19</v>
      </c>
    </row>
    <row r="6" spans="2:8" x14ac:dyDescent="0.45">
      <c r="B6" s="20">
        <v>17</v>
      </c>
      <c r="C6" s="10">
        <v>44503</v>
      </c>
      <c r="D6" s="22">
        <v>0.77790509258920792</v>
      </c>
      <c r="E6" s="11" t="s">
        <v>6</v>
      </c>
      <c r="F6" s="12" t="s">
        <v>124</v>
      </c>
    </row>
    <row r="7" spans="2:8" x14ac:dyDescent="0.45">
      <c r="B7" s="17">
        <v>16</v>
      </c>
      <c r="C7" s="10">
        <v>44503</v>
      </c>
      <c r="D7" s="22">
        <v>0.51612268518510973</v>
      </c>
      <c r="E7" s="11" t="s">
        <v>6</v>
      </c>
      <c r="F7" s="12" t="s">
        <v>49</v>
      </c>
      <c r="H7" t="s">
        <v>26</v>
      </c>
    </row>
    <row r="8" spans="2:8" x14ac:dyDescent="0.45">
      <c r="B8" s="17">
        <v>15</v>
      </c>
      <c r="C8" s="10">
        <v>44501</v>
      </c>
      <c r="D8" s="22">
        <v>0.61922453704028158</v>
      </c>
      <c r="E8" s="11" t="s">
        <v>6</v>
      </c>
      <c r="F8" s="12" t="s">
        <v>48</v>
      </c>
    </row>
    <row r="9" spans="2:8" x14ac:dyDescent="0.45">
      <c r="B9" s="17">
        <v>14</v>
      </c>
      <c r="C9" s="10">
        <v>44500</v>
      </c>
      <c r="D9" s="22">
        <v>0.77243055555300089</v>
      </c>
      <c r="E9" s="11" t="s">
        <v>6</v>
      </c>
      <c r="F9" s="14" t="s">
        <v>47</v>
      </c>
      <c r="H9" s="13"/>
    </row>
    <row r="10" spans="2:8" x14ac:dyDescent="0.45">
      <c r="B10" s="17">
        <v>13</v>
      </c>
      <c r="C10" s="10">
        <v>44499</v>
      </c>
      <c r="D10" s="22">
        <v>0.77101851852057735</v>
      </c>
      <c r="E10" s="11" t="s">
        <v>6</v>
      </c>
      <c r="F10" s="12" t="s">
        <v>44</v>
      </c>
    </row>
    <row r="11" spans="2:8" x14ac:dyDescent="0.45">
      <c r="B11" s="17">
        <v>12</v>
      </c>
      <c r="C11" s="10">
        <v>44498</v>
      </c>
      <c r="D11" s="22">
        <v>0.75243055555620231</v>
      </c>
      <c r="E11" s="11" t="s">
        <v>6</v>
      </c>
      <c r="F11" s="12" t="s">
        <v>43</v>
      </c>
      <c r="H11" s="13" t="s">
        <v>45</v>
      </c>
    </row>
    <row r="12" spans="2:8" x14ac:dyDescent="0.45">
      <c r="B12" s="17">
        <v>11</v>
      </c>
      <c r="C12" s="10">
        <v>44498</v>
      </c>
      <c r="D12" s="22">
        <v>0.66075231481227092</v>
      </c>
      <c r="E12" s="11" t="s">
        <v>6</v>
      </c>
      <c r="F12" s="12" t="s">
        <v>36</v>
      </c>
      <c r="H12" s="13" t="s">
        <v>46</v>
      </c>
    </row>
    <row r="13" spans="2:8" x14ac:dyDescent="0.45">
      <c r="B13" s="17">
        <v>10</v>
      </c>
      <c r="C13" s="10">
        <v>44496</v>
      </c>
      <c r="D13" s="22">
        <v>0.66944444444379769</v>
      </c>
      <c r="E13" s="11" t="s">
        <v>6</v>
      </c>
      <c r="F13" s="14" t="s">
        <v>34</v>
      </c>
    </row>
    <row r="14" spans="2:8" x14ac:dyDescent="0.45">
      <c r="B14" s="17">
        <v>9</v>
      </c>
      <c r="C14" s="10">
        <v>44496</v>
      </c>
      <c r="D14" s="22">
        <v>0.58098379629518604</v>
      </c>
      <c r="E14" s="11" t="s">
        <v>6</v>
      </c>
      <c r="F14" s="14" t="s">
        <v>33</v>
      </c>
    </row>
    <row r="15" spans="2:8" x14ac:dyDescent="0.45">
      <c r="B15" s="17">
        <v>8</v>
      </c>
      <c r="C15" s="10">
        <v>44490</v>
      </c>
      <c r="D15" s="22">
        <v>0.82973379629402189</v>
      </c>
      <c r="E15" s="11" t="s">
        <v>6</v>
      </c>
      <c r="F15" s="12" t="s">
        <v>32</v>
      </c>
    </row>
    <row r="16" spans="2:8" x14ac:dyDescent="0.45">
      <c r="B16" s="17">
        <v>7</v>
      </c>
      <c r="C16" s="10">
        <v>44490</v>
      </c>
      <c r="D16" s="22">
        <v>0.73636574074043892</v>
      </c>
      <c r="E16" s="11" t="s">
        <v>6</v>
      </c>
      <c r="F16" s="12" t="s">
        <v>31</v>
      </c>
    </row>
    <row r="17" spans="2:8" x14ac:dyDescent="0.45">
      <c r="B17" s="17">
        <v>6</v>
      </c>
      <c r="C17" s="10">
        <v>44489</v>
      </c>
      <c r="D17" s="22">
        <v>0.74749999999767169</v>
      </c>
      <c r="E17" s="11" t="s">
        <v>6</v>
      </c>
      <c r="F17" s="12" t="s">
        <v>27</v>
      </c>
    </row>
    <row r="18" spans="2:8" x14ac:dyDescent="0.45">
      <c r="B18" s="17">
        <v>5</v>
      </c>
      <c r="C18" s="10">
        <v>44489</v>
      </c>
      <c r="D18" s="22">
        <v>0.73053240740409819</v>
      </c>
      <c r="E18" s="11" t="s">
        <v>6</v>
      </c>
      <c r="F18" s="14" t="s">
        <v>25</v>
      </c>
    </row>
    <row r="19" spans="2:8" x14ac:dyDescent="0.45">
      <c r="B19" s="17">
        <v>4</v>
      </c>
      <c r="C19" s="10">
        <v>44488</v>
      </c>
      <c r="D19" s="22">
        <v>0.79721064814657439</v>
      </c>
      <c r="E19" s="11" t="s">
        <v>6</v>
      </c>
      <c r="F19" s="12" t="s">
        <v>20</v>
      </c>
    </row>
    <row r="20" spans="2:8" ht="28.5" x14ac:dyDescent="0.45">
      <c r="B20" s="17">
        <v>3</v>
      </c>
      <c r="C20" s="10">
        <v>44487</v>
      </c>
      <c r="D20" s="22">
        <v>0.68336805555736646</v>
      </c>
      <c r="E20" s="11" t="s">
        <v>6</v>
      </c>
      <c r="F20" s="14" t="s">
        <v>12</v>
      </c>
    </row>
    <row r="21" spans="2:8" x14ac:dyDescent="0.45">
      <c r="B21" s="17">
        <v>2</v>
      </c>
      <c r="C21" s="10">
        <v>44484</v>
      </c>
      <c r="D21" s="22">
        <v>0.42918981481489027</v>
      </c>
      <c r="E21" s="11" t="s">
        <v>6</v>
      </c>
      <c r="F21" s="12" t="s">
        <v>10</v>
      </c>
    </row>
    <row r="22" spans="2:8" x14ac:dyDescent="0.45">
      <c r="B22" s="4">
        <v>1</v>
      </c>
      <c r="C22" s="7">
        <v>44484</v>
      </c>
      <c r="D22" s="23">
        <v>0.40581018518423662</v>
      </c>
      <c r="E22" s="5" t="s">
        <v>6</v>
      </c>
      <c r="F22" s="9" t="s">
        <v>7</v>
      </c>
    </row>
    <row r="23" spans="2:8" x14ac:dyDescent="0.45">
      <c r="H23" s="13"/>
    </row>
    <row r="42" spans="6:6" x14ac:dyDescent="0.45">
      <c r="F42" s="13"/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Examples</vt:lpstr>
      <vt:lpstr>MyFileFormat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2021-10-14T08:50:42Z</dcterms:created>
  <dcterms:modified xsi:type="dcterms:W3CDTF">2021-11-03T19:16:33Z</dcterms:modified>
</cp:coreProperties>
</file>