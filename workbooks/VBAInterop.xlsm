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835998DF-7609-45A9-B05E-F3CF0D564036}" xr6:coauthVersionLast="47" xr6:coauthVersionMax="47" xr10:uidLastSave="{00000000-0000-0000-0000-000000000000}"/>
  <bookViews>
    <workbookView xWindow="48503" yWindow="-98" windowWidth="38595" windowHeight="210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3" l="1" a="1"/>
  <c r="C7" i="3"/>
  <c r="C3" i="3" a="1"/>
  <c r="C3" i="3"/>
  <c r="C47" i="3" a="1"/>
  <c r="C47" i="3"/>
  <c r="C23" i="3" a="1"/>
  <c r="C23" i="3"/>
  <c r="C9" i="3" a="1"/>
  <c r="C9" i="3"/>
  <c r="C5" i="3" a="1"/>
  <c r="C5" i="3"/>
  <c r="C41" i="3" a="1"/>
  <c r="C41" i="3"/>
  <c r="C38" i="3" a="1"/>
  <c r="C38" i="3"/>
  <c r="C35" i="3" a="1"/>
  <c r="C35" i="3"/>
  <c r="C32" i="3" a="1"/>
  <c r="C32" i="3"/>
  <c r="C27" i="3" a="1"/>
  <c r="C27" i="3"/>
  <c r="C18" i="3" a="1"/>
  <c r="C18" i="3"/>
  <c r="C16" i="3" a="1"/>
  <c r="C16" i="3"/>
  <c r="C14" i="3" a="1"/>
  <c r="C14" i="3"/>
  <c r="C12" i="3" a="1"/>
  <c r="C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<sst xmlns="http://schemas.openxmlformats.org/spreadsheetml/2006/main" count="68" uniqueCount="52">
  <si>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</si>
  <si>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</si>
  <si>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</si>
  <si>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</si>
  <si>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</si>
  <si>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</si>
  <si>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</si>
  <si>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</si>
  <si>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</si>
  <si>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</si>
  <si>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</si>
  <si>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</si>
  <si>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</si>
  <si>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</si>
  <si>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</si>
  <si>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</si>
  <si>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</si>
  <si>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</si>
  <si>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</si>
  <si>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</si>
  <si>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</si>
  <si>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</si>
  <si>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</si>
  <si>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</si>
  <si>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</si>
  <si>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</si>
  <si>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</si>
  <si>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</si>
  <si>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</si>
  <si>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</si>
  <si>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</si>
  <si>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</si>
  <si>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</si>
  <si>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</si>
  <si>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</si>
  <si>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</si>
  <si>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</si>
  <si>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</si>
  <si>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</si>
  <si>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</si>
  <si>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</si>
  <si>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</si>
  <si>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</si>
  <si>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</si>
  <si>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</si>
  <si>
    <t>I have ideas for faster-to-parse file format than csv.</t>
  </si>
  <si>
    <t>Planning name change VBAInterop to ExcelJuliaCall</t>
  </si>
  <si>
    <t>Change name from VBAInterop to something else. Ideas: ExcelJulia, ExcelJuliaCall, JuliaForExcel, JuliaForVBA, JuliaForXL, JuliaFromExcel, JuliaFromVBA, JuliaFromXL, JuliaVBA, VBAJulia, XLJulia, XLWithJulia</t>
  </si>
  <si>
    <t>Installer: Either write in Julia or write in VBScript, by adapting script to install SAI. See https://docs.julialang.org/en/v1/manual/running-external-programs/</t>
  </si>
  <si>
    <t>Changed method DefaultJuliaExe to search first on path.</t>
  </si>
  <si>
    <t>New location of VBA code in repo</t>
  </si>
  <si>
    <t>Last version prior to experimenting (on a branch) with a custom file format in place of CSV for communicating data back to 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</si>
</sst>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tabSelected="1" workbookViewId="0"/>
  </sheetViews>
  <sheetFormatPr defaultRowHeight="14.25" x14ac:dyDescent="0.45"/>
  <cols>
    <col min="7" max="7" width="9.796875" bestFit="1" customWidth="1"/>
    <col min="8" max="8" width="15.19921875" bestFit="1" customWidth="1"/>
    <col min="9" max="9" width="8.53125" bestFit="1" customWidth="1"/>
    <col min="10" max="10" width="17.796875" bestFit="1" customWidth="1"/>
    <col min="11" max="11" width="39.86328125" bestFit="1" customWidth="1"/>
    <col min="13" max="13" width="10.796875" bestFit="1" customWidth="1"/>
  </cols>
  <sheetData>
    <row r="1" spans="1:3" ht="28.5" x14ac:dyDescent="0.85">
      <c r="A1" s="1" t="s">
        <v>9</v>
      </c>
    </row>
    <row r="3" spans="1:3" x14ac:dyDescent="0.45">
      <c r="A3" t="s">
        <v>8</v>
      </c>
    </row>
    <row r="5" spans="1:3" x14ac:dyDescent="0.45">
      <c r="A5" s="13" t="s">
        <v>38</v>
      </c>
    </row>
    <row r="7" spans="1:3" x14ac:dyDescent="0.45">
      <c r="C7" t="s">
        <v>39</v>
      </c>
    </row>
    <row r="8" spans="1:3" x14ac:dyDescent="0.45">
      <c r="C8" t="s">
        <v>40</v>
      </c>
    </row>
    <row r="9" spans="1:3" x14ac:dyDescent="0.45">
      <c r="C9" t="s">
        <v>41</v>
      </c>
    </row>
    <row r="10" spans="1:3" x14ac:dyDescent="0.45">
      <c r="C10" t="s">
        <v>42</v>
      </c>
    </row>
    <row r="11" spans="1:3" x14ac:dyDescent="0.45">
      <c r="C11" t="s">
        <v>43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G55"/>
  <sheetViews>
    <sheetView showGridLines="0" showRowColHeaders="0" workbookViewId="0"/>
  </sheetViews>
  <sheetFormatPr defaultRowHeight="14.25" x14ac:dyDescent="0.45"/>
  <cols>
    <col min="1" max="1" width="2.53125" customWidth="1"/>
    <col min="2" max="2" width="20" bestFit="1" customWidth="1"/>
  </cols>
  <sheetData>
    <row r="1" spans="2:7" ht="28.5" x14ac:dyDescent="0.85">
      <c r="B1" s="1" t="s">
        <v>18</v>
      </c>
    </row>
    <row r="3" spans="2:7" x14ac:dyDescent="0.45">
      <c r="B3" t="s">
        <v>39</v>
      </c>
      <c r="C3" t="str" cm="1">
        <f t="array" aca="1" ref="C3" ca="1">JuliaLaunch()</f>
        <v>Julia launched in window "Julia 1.6.3 PID 35480 serving Excel PID 14364"</v>
      </c>
    </row>
    <row r="5" spans="2:7" x14ac:dyDescent="0.45">
      <c r="B5" s="13" t="s">
        <v>11</v>
      </c>
      <c r="C5" cm="1">
        <f t="array" aca="1" ref="C5" ca="1">JuliaEval(B5)</f>
        <v>2</v>
      </c>
    </row>
    <row r="7" spans="2:7" x14ac:dyDescent="0.45">
      <c r="B7" s="13" t="s">
        <v>15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7" x14ac:dyDescent="0.45">
      <c r="B9" t="s">
        <v>14</v>
      </c>
      <c r="C9" cm="1">
        <f t="array" aca="1" ref="C9:D10" ca="1">JuliaEval(B9)</f>
        <v>1</v>
      </c>
      <c r="D9">
        <f ca="1"/>
        <v>1</v>
      </c>
    </row>
    <row r="10" spans="2:7" x14ac:dyDescent="0.45">
      <c r="C10">
        <f ca="1"/>
        <v>1</v>
      </c>
      <c r="D10">
        <f ca="1"/>
        <v>1</v>
      </c>
    </row>
    <row r="12" spans="2:7" x14ac:dyDescent="0.45">
      <c r="B12" t="s">
        <v>13</v>
      </c>
      <c r="C12" t="str" cm="1">
        <f t="array" aca="1" ref="C12" ca="1">JuliaEval(B12)</f>
        <v>#Expression evaluates to a variable of type Array{Int64, 3}, and no method exists to return variables of that type to Excel!</v>
      </c>
    </row>
    <row r="14" spans="2:7" x14ac:dyDescent="0.45">
      <c r="B14" s="13" t="s">
        <v>16</v>
      </c>
      <c r="C14" t="str" cm="1">
        <f t="array" aca="1" ref="C14" ca="1">JuliaEval(B14)</f>
        <v>nothing</v>
      </c>
    </row>
    <row r="16" spans="2:7" x14ac:dyDescent="0.45">
      <c r="B16" t="s">
        <v>17</v>
      </c>
      <c r="C16" cm="1">
        <f t="array" aca="1" ref="C16" ca="1">JuliaEval(B16)</f>
        <v>0</v>
      </c>
    </row>
    <row r="18" spans="2:5" x14ac:dyDescent="0.45">
      <c r="B18" s="15" t="s">
        <v>29</v>
      </c>
      <c r="C18" cm="1">
        <f t="array" aca="1" ref="C18:C21" ca="1">JuliaEval(B18)</f>
        <v>1</v>
      </c>
    </row>
    <row r="19" spans="2:5" x14ac:dyDescent="0.45">
      <c r="C19">
        <f ca="1"/>
        <v>2</v>
      </c>
    </row>
    <row r="20" spans="2:5" x14ac:dyDescent="0.45">
      <c r="C20">
        <f ca="1"/>
        <v>3</v>
      </c>
    </row>
    <row r="21" spans="2:5" x14ac:dyDescent="0.45">
      <c r="C21">
        <f ca="1"/>
        <v>4</v>
      </c>
    </row>
    <row r="23" spans="2:5" x14ac:dyDescent="0.45">
      <c r="B23" s="15" t="s">
        <v>21</v>
      </c>
      <c r="C23" cm="1">
        <f t="array" aca="1" ref="C23:E25" ca="1">JuliaEval(B23)</f>
        <v>2</v>
      </c>
      <c r="D23">
        <f ca="1"/>
        <v>3</v>
      </c>
      <c r="E23">
        <f ca="1"/>
        <v>4</v>
      </c>
    </row>
    <row r="24" spans="2:5" x14ac:dyDescent="0.45">
      <c r="C24">
        <f ca="1"/>
        <v>3</v>
      </c>
      <c r="D24">
        <f ca="1"/>
        <v>4</v>
      </c>
      <c r="E24">
        <f ca="1"/>
        <v>5</v>
      </c>
    </row>
    <row r="25" spans="2:5" x14ac:dyDescent="0.45">
      <c r="C25">
        <f ca="1"/>
        <v>4</v>
      </c>
      <c r="D25">
        <f ca="1"/>
        <v>5</v>
      </c>
      <c r="E25">
        <f ca="1"/>
        <v>6</v>
      </c>
    </row>
    <row r="27" spans="2:5" x14ac:dyDescent="0.45">
      <c r="B27" s="13" t="s">
        <v>22</v>
      </c>
      <c r="C27" cm="1">
        <f t="array" aca="1" ref="C27:C29" ca="1">JuliaEval(B27)</f>
        <v>1</v>
      </c>
    </row>
    <row r="28" spans="2:5" x14ac:dyDescent="0.45">
      <c r="C28">
        <f ca="1"/>
        <v>2</v>
      </c>
    </row>
    <row r="29" spans="2:5" x14ac:dyDescent="0.45">
      <c r="C29">
        <f ca="1"/>
        <v>3</v>
      </c>
    </row>
    <row r="32" spans="2:5" x14ac:dyDescent="0.45">
      <c r="B32" s="13" t="s">
        <v>23</v>
      </c>
      <c r="C32" cm="1">
        <f t="array" aca="1" ref="C32:E32" ca="1">JuliaEval(B32)</f>
        <v>1</v>
      </c>
      <c r="D32">
        <f ca="1"/>
        <v>2</v>
      </c>
      <c r="E32">
        <f ca="1"/>
        <v>0</v>
      </c>
    </row>
    <row r="35" spans="2:3" x14ac:dyDescent="0.45">
      <c r="B35" t="s">
        <v>24</v>
      </c>
      <c r="C35" t="str" cm="1">
        <f t="array" aca="1" ref="C35" ca="1">JuliaEval(B35)</f>
        <v>Inf</v>
      </c>
    </row>
    <row r="38" spans="2:3" x14ac:dyDescent="0.45">
      <c r="B38" t="s">
        <v>30</v>
      </c>
      <c r="C38" t="str" cm="1">
        <f t="array" aca="1" ref="C38" ca="1">JuliaEval(B38)</f>
        <v>1.7.0-rc2</v>
      </c>
    </row>
    <row r="41" spans="2:3" x14ac:dyDescent="0.45">
      <c r="B41" t="s">
        <v>31</v>
      </c>
      <c r="C41" t="str" cm="1">
        <f t="array" aca="1" ref="C41" ca="1">JuliaEval(B41)</f>
        <v>#JuliaEval (line 24): The expression evaluated caused Julia to shut down!</v>
      </c>
    </row>
    <row r="46" spans="2:3" x14ac:dyDescent="0.45">
      <c r="B46" t="s">
        <v>36</v>
      </c>
    </row>
    <row r="47" spans="2:3" x14ac:dyDescent="0.45">
      <c r="B47">
        <v>1</v>
      </c>
      <c r="C47" t="str" cm="1">
        <f t="array" aca="1" ref="C47" ca="1">JuliaSetVar(B46,B47:B55)</f>
        <v>#`marie-veronique` is not an allowed variable name in Julia!</v>
      </c>
    </row>
    <row r="48" spans="2:3" x14ac:dyDescent="0.45">
      <c r="B48">
        <v>2</v>
      </c>
    </row>
    <row r="49" spans="2:2" x14ac:dyDescent="0.45">
      <c r="B49">
        <v>3</v>
      </c>
    </row>
    <row r="50" spans="2:2" x14ac:dyDescent="0.45">
      <c r="B50">
        <v>4</v>
      </c>
    </row>
    <row r="51" spans="2:2" x14ac:dyDescent="0.45">
      <c r="B51">
        <v>5</v>
      </c>
    </row>
    <row r="52" spans="2:2" x14ac:dyDescent="0.45">
      <c r="B52">
        <v>6</v>
      </c>
    </row>
    <row r="53" spans="2:2" x14ac:dyDescent="0.45">
      <c r="B53">
        <v>7</v>
      </c>
    </row>
    <row r="54" spans="2:2" x14ac:dyDescent="0.45">
      <c r="B54">
        <v>8</v>
      </c>
    </row>
    <row r="55" spans="2:2" x14ac:dyDescent="0.45">
      <c r="B55">
        <v>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41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96875" customWidth="1"/>
    <col min="3" max="3" width="11.86328125" customWidth="1"/>
    <col min="4" max="4" width="5.46484375" customWidth="1"/>
    <col min="5" max="5" width="14.796875" customWidth="1"/>
    <col min="6" max="6" width="155.46484375" customWidth="1"/>
  </cols>
  <sheetData>
    <row r="1" spans="2:8" ht="28.5" x14ac:dyDescent="0.85">
      <c r="B1" s="1" t="s">
        <v>0</v>
      </c>
    </row>
    <row r="5" spans="2:8" x14ac:dyDescent="0.45">
      <c r="B5" s="2" t="s">
        <v>1</v>
      </c>
      <c r="C5" s="6" t="s">
        <v>2</v>
      </c>
      <c r="D5" s="19" t="s">
        <v>3</v>
      </c>
      <c r="E5" s="3" t="s">
        <v>4</v>
      </c>
      <c r="F5" s="8" t="s">
        <v>5</v>
      </c>
      <c r="H5" s="16" t="s">
        <v>19</v>
      </c>
    </row>
    <row r="6" spans="2:8" x14ac:dyDescent="0.45">
      <c r="B6" s="18">
        <v>16</v>
      </c>
      <c r="C6" s="10">
        <v>44503</v>
      </c>
      <c r="D6" s="20">
        <v>0.51612268518510973</v>
      </c>
      <c r="E6" s="11" t="s">
        <v>6</v>
      </c>
      <c r="F6" s="12" t="s">
        <v>51</v>
      </c>
      <c r="H6" t="s">
        <v>25</v>
      </c>
    </row>
    <row r="7" spans="2:8" x14ac:dyDescent="0.45">
      <c r="B7" s="17">
        <v>15</v>
      </c>
      <c r="C7" s="10">
        <v>44501</v>
      </c>
      <c r="D7" s="20">
        <v>0.61922453704028158</v>
      </c>
      <c r="E7" s="11" t="s">
        <v>6</v>
      </c>
      <c r="F7" s="12" t="s">
        <v>50</v>
      </c>
      <c r="H7" t="s">
        <v>27</v>
      </c>
    </row>
    <row r="8" spans="2:8" x14ac:dyDescent="0.45">
      <c r="B8" s="17">
        <v>14</v>
      </c>
      <c r="C8" s="10">
        <v>44500</v>
      </c>
      <c r="D8" s="20">
        <v>0.77243055555300089</v>
      </c>
      <c r="E8" s="11" t="s">
        <v>6</v>
      </c>
      <c r="F8" s="14" t="s">
        <v>49</v>
      </c>
    </row>
    <row r="9" spans="2:8" x14ac:dyDescent="0.45">
      <c r="B9" s="17">
        <v>13</v>
      </c>
      <c r="C9" s="10">
        <v>44499</v>
      </c>
      <c r="D9" s="20">
        <v>0.77101851852057735</v>
      </c>
      <c r="E9" s="11" t="s">
        <v>6</v>
      </c>
      <c r="F9" s="12" t="s">
        <v>46</v>
      </c>
      <c r="H9" s="13" t="s">
        <v>45</v>
      </c>
    </row>
    <row r="10" spans="2:8" x14ac:dyDescent="0.45">
      <c r="B10" s="17">
        <v>12</v>
      </c>
      <c r="C10" s="10">
        <v>44498</v>
      </c>
      <c r="D10" s="20">
        <v>0.75243055555620231</v>
      </c>
      <c r="E10" s="11" t="s">
        <v>6</v>
      </c>
      <c r="F10" s="12" t="s">
        <v>44</v>
      </c>
    </row>
    <row r="11" spans="2:8" x14ac:dyDescent="0.45">
      <c r="B11" s="17">
        <v>11</v>
      </c>
      <c r="C11" s="10">
        <v>44498</v>
      </c>
      <c r="D11" s="20">
        <v>0.66075231481227092</v>
      </c>
      <c r="E11" s="11" t="s">
        <v>6</v>
      </c>
      <c r="F11" s="12" t="s">
        <v>37</v>
      </c>
      <c r="H11" s="13" t="s">
        <v>47</v>
      </c>
    </row>
    <row r="12" spans="2:8" x14ac:dyDescent="0.45">
      <c r="B12" s="17">
        <v>10</v>
      </c>
      <c r="C12" s="10">
        <v>44496</v>
      </c>
      <c r="D12" s="20">
        <v>0.66944444444379769</v>
      </c>
      <c r="E12" s="11" t="s">
        <v>6</v>
      </c>
      <c r="F12" s="14" t="s">
        <v>35</v>
      </c>
      <c r="H12" s="13" t="s">
        <v>48</v>
      </c>
    </row>
    <row r="13" spans="2:8" x14ac:dyDescent="0.45">
      <c r="B13" s="17">
        <v>9</v>
      </c>
      <c r="C13" s="10">
        <v>44496</v>
      </c>
      <c r="D13" s="20">
        <v>0.58098379629518604</v>
      </c>
      <c r="E13" s="11" t="s">
        <v>6</v>
      </c>
      <c r="F13" s="14" t="s">
        <v>34</v>
      </c>
    </row>
    <row r="14" spans="2:8" x14ac:dyDescent="0.45">
      <c r="B14" s="17">
        <v>8</v>
      </c>
      <c r="C14" s="10">
        <v>44490</v>
      </c>
      <c r="D14" s="20">
        <v>0.82973379629402189</v>
      </c>
      <c r="E14" s="11" t="s">
        <v>6</v>
      </c>
      <c r="F14" s="12" t="s">
        <v>33</v>
      </c>
    </row>
    <row r="15" spans="2:8" x14ac:dyDescent="0.45">
      <c r="B15" s="17">
        <v>7</v>
      </c>
      <c r="C15" s="10">
        <v>44490</v>
      </c>
      <c r="D15" s="20">
        <v>0.73636574074043892</v>
      </c>
      <c r="E15" s="11" t="s">
        <v>6</v>
      </c>
      <c r="F15" s="12" t="s">
        <v>32</v>
      </c>
    </row>
    <row r="16" spans="2:8" x14ac:dyDescent="0.45">
      <c r="B16" s="17">
        <v>6</v>
      </c>
      <c r="C16" s="10">
        <v>44489</v>
      </c>
      <c r="D16" s="20">
        <v>0.74749999999767169</v>
      </c>
      <c r="E16" s="11" t="s">
        <v>6</v>
      </c>
      <c r="F16" s="12" t="s">
        <v>28</v>
      </c>
    </row>
    <row r="17" spans="2:8" x14ac:dyDescent="0.45">
      <c r="B17" s="17">
        <v>5</v>
      </c>
      <c r="C17" s="10">
        <v>44489</v>
      </c>
      <c r="D17" s="20">
        <v>0.73053240740409819</v>
      </c>
      <c r="E17" s="11" t="s">
        <v>6</v>
      </c>
      <c r="F17" s="14" t="s">
        <v>26</v>
      </c>
    </row>
    <row r="18" spans="2:8" x14ac:dyDescent="0.45">
      <c r="B18" s="17">
        <v>4</v>
      </c>
      <c r="C18" s="10">
        <v>44488</v>
      </c>
      <c r="D18" s="20">
        <v>0.79721064814657439</v>
      </c>
      <c r="E18" s="11" t="s">
        <v>6</v>
      </c>
      <c r="F18" s="12" t="s">
        <v>20</v>
      </c>
    </row>
    <row r="19" spans="2:8" ht="28.5" x14ac:dyDescent="0.45">
      <c r="B19" s="17">
        <v>3</v>
      </c>
      <c r="C19" s="10">
        <v>44487</v>
      </c>
      <c r="D19" s="20">
        <v>0.68336805555736646</v>
      </c>
      <c r="E19" s="11" t="s">
        <v>6</v>
      </c>
      <c r="F19" s="14" t="s">
        <v>12</v>
      </c>
    </row>
    <row r="20" spans="2:8" x14ac:dyDescent="0.45">
      <c r="B20" s="17">
        <v>2</v>
      </c>
      <c r="C20" s="10">
        <v>44484</v>
      </c>
      <c r="D20" s="20">
        <v>0.42918981481489027</v>
      </c>
      <c r="E20" s="11" t="s">
        <v>6</v>
      </c>
      <c r="F20" s="12" t="s">
        <v>10</v>
      </c>
    </row>
    <row r="21" spans="2:8" x14ac:dyDescent="0.45">
      <c r="B21" s="4">
        <v>1</v>
      </c>
      <c r="C21" s="7">
        <v>44484</v>
      </c>
      <c r="D21" s="21">
        <v>0.40581018518423662</v>
      </c>
      <c r="E21" s="5" t="s">
        <v>6</v>
      </c>
      <c r="F21" s="9" t="s">
        <v>7</v>
      </c>
    </row>
    <row r="23" spans="2:8" x14ac:dyDescent="0.45">
      <c r="H23" s="13"/>
    </row>
    <row r="41" spans="6:6" x14ac:dyDescent="0.45">
      <c r="F41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2021-11-03T12:25:53Z</dcterms:modified>
</cp:coreProperties>
</file>