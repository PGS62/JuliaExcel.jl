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13079B83-FD9D-416D-867D-21ADE58904F8}" xr6:coauthVersionLast="47" xr6:coauthVersionMax="47" xr10:uidLastSave="{00000000-0000-0000-0000-000000000000}"/>
  <bookViews>
    <workbookView xWindow="-38510" yWindow="1480" windowWidth="38620" windowHeight="21100" xr2:uid="{4CDB23DB-2186-44BE-93DB-1F9A8B06F279}"/>
  </bookViews>
  <sheets>
    <sheet name="Help" sheetId="1" r:id="rId1"/>
    <sheet name="Audit" sheetId="3" r:id="rId2"/>
  </sheets>
  <functionGroups builtInGroupCount="19"/>
  <definedNames>
    <definedName name="Headers" localSheetId="1">Audit!$B$5:$F$5</definedName>
    <definedName name="IntellisenseTable">#REF!</definedName>
    <definedName name="SolumFilteredRange" localSheetId="1" hidden="1">Audit!$B$6:$F$34</definedName>
    <definedName name="SolumFilters" localSheetId="1" hidden="1">Audit!$B$4:$F$4</definedName>
    <definedName name="SolumFiltersNumHeaderRows" localSheetId="1" hidden="1">1</definedName>
    <definedName name="SourceFile">Help!$C$4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 a="1"/>
  <c r="B7" i="1"/>
  <c r="G22" i="1" a="1"/>
  <c r="G22" i="1"/>
  <c r="B22" i="1" a="1"/>
  <c r="B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<sst xmlns="http://schemas.openxmlformats.org/spreadsheetml/2006/main" count="85" uniqueCount="47">
  <si>
    <t>Workbook to keep three sources of help in sync: 1) Help available via Excel Function Wizard; 2) Help in headers of the VBA code; and 3) Help on GitHub.</t>
  </si>
  <si>
    <t>SourceFile</t>
  </si>
  <si>
    <t>Markdown Help for GitHub README.MD</t>
  </si>
  <si>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</si>
  <si>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</si>
  <si>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</si>
  <si>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</si>
  <si>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</si>
  <si>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</si>
  <si>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</si>
  <si>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</si>
  <si>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Replace this</t>
  </si>
  <si>
    <t>With this</t>
  </si>
  <si>
    <t>Now save backups of this workbook to my one-drive.</t>
  </si>
  <si>
    <t>Fixed typo in IgnoreRepeated.</t>
  </si>
  <si>
    <t>Edits to help.</t>
  </si>
  <si>
    <t>CSVWrite now takes argument Encoding, not Unicode.</t>
  </si>
  <si>
    <t>DateFormat arg to CSVRead now defaults to Y-M-D.</t>
  </si>
  <si>
    <t>Edit to function CodeToRegister.</t>
  </si>
  <si>
    <t>CSVWrite now accepts Data having one dimension.</t>
  </si>
  <si>
    <t>Tweaks to CSVWrite documentation.</t>
  </si>
  <si>
    <t>Create VBA-CSV-Intellisense.xlsx workbook</t>
  </si>
  <si>
    <t>Renamed to JuliaExcel</t>
  </si>
  <si>
    <t>Julia's rules</t>
  </si>
  <si>
    <t>Julia's [rules](https://docs.julialang.org/en/v1/manual/variables/#Allowed-Variable-Names)</t>
  </si>
  <si>
    <t>Markdown for summary of functions</t>
  </si>
  <si>
    <t>Updates to documentation</t>
  </si>
  <si>
    <t>Fixed typo</t>
  </si>
  <si>
    <t>Now with Intellisense worksheet, that will (hopefully) be picked up by the DNA.intellisense coe, once copied to the add-in</t>
  </si>
  <si>
    <t>Headers for VBA Code</t>
  </si>
  <si>
    <t>yabba</t>
  </si>
  <si>
    <t>Documenter for JuliaExcel</t>
  </si>
  <si>
    <t>Now take all data from the _IntelliSense_ sheet of JuliaExcel.xlsm</t>
  </si>
  <si>
    <t>Renamed to JuliaExcel-Documenter.</t>
  </si>
  <si>
    <t>Hooks in to _Intellisense_ sheet of JuliaExcel.xlam</t>
  </si>
  <si>
    <t>Have ditched JuliaCall2 and argument PrecedentCell to the other functions.</t>
  </si>
  <si>
    <t>Function name changes: FromVBA --&gt; VBA</t>
  </si>
  <si>
    <t>Cope with functions with zero arguments. The code in this workbook is shamefully hacky.</t>
  </si>
  <si>
    <t>Refreshed.</t>
  </si>
  <si>
    <t>Tweaks to methods generating documentation.</t>
  </si>
  <si>
    <t>C:\Projects\JuliaExcel\vba\JuliaExcel.xlam\VBA\modMain.bas</t>
  </si>
  <si>
    <t>Dbl-click</t>
  </si>
  <si>
    <t>Double-click</t>
  </si>
  <si>
    <t>Double-click to filter</t>
  </si>
  <si>
    <t>Updates for socket-based version of JuliaExcel.</t>
  </si>
  <si>
    <t>All 29 rows shown.</t>
  </si>
  <si>
    <t>Updates to docs for JuliaLaunch.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</si>
</sst>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ourier New"/>
      <family val="3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quotePrefix="1" applyFont="1" applyAlignment="1">
      <alignment horizontal="left"/>
    </xf>
    <xf numFmtId="0" fontId="3" fillId="0" borderId="0" xfId="0" applyFont="1"/>
    <xf numFmtId="0" fontId="0" fillId="0" borderId="0" xfId="0" quotePrefix="1" applyAlignment="1">
      <alignment horizontal="left"/>
    </xf>
    <xf numFmtId="0" fontId="5" fillId="0" borderId="0" xfId="0" quotePrefix="1" applyFont="1" applyAlignment="1">
      <alignment horizontal="left"/>
    </xf>
    <xf numFmtId="0" fontId="6" fillId="0" borderId="0" xfId="0" applyFont="1"/>
    <xf numFmtId="0" fontId="5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38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 vertical="center"/>
    </xf>
    <xf numFmtId="164" fontId="7" fillId="2" borderId="6" xfId="0" applyNumberFormat="1" applyFont="1" applyFill="1" applyBorder="1" applyAlignment="1">
      <alignment horizontal="left" vertical="center"/>
    </xf>
    <xf numFmtId="0" fontId="7" fillId="2" borderId="7" xfId="0" quotePrefix="1" applyFont="1" applyFill="1" applyBorder="1" applyAlignment="1">
      <alignment horizontal="left" vertical="center" wrapText="1"/>
    </xf>
    <xf numFmtId="0" fontId="1" fillId="0" borderId="0" xfId="0" applyFont="1"/>
    <xf numFmtId="164" fontId="7" fillId="2" borderId="9" xfId="0" applyNumberFormat="1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 wrapText="1"/>
    </xf>
    <xf numFmtId="0" fontId="7" fillId="2" borderId="10" xfId="0" quotePrefix="1" applyFont="1" applyFill="1" applyBorder="1" applyAlignment="1">
      <alignment horizontal="left" vertical="center" wrapText="1"/>
    </xf>
    <xf numFmtId="0" fontId="0" fillId="0" borderId="1" xfId="0" quotePrefix="1" applyBorder="1" applyAlignment="1">
      <alignment horizontal="left"/>
    </xf>
    <xf numFmtId="0" fontId="0" fillId="0" borderId="1" xfId="0" applyBorder="1"/>
    <xf numFmtId="38" fontId="7" fillId="2" borderId="8" xfId="0" applyNumberFormat="1" applyFont="1" applyFill="1" applyBorder="1" applyAlignment="1">
      <alignment horizontal="center" vertical="center"/>
    </xf>
    <xf numFmtId="0" fontId="4" fillId="0" borderId="0" xfId="0" quotePrefix="1" applyFont="1" applyAlignment="1" applyProtection="1">
      <alignment horizontal="left"/>
      <protection locked="0"/>
    </xf>
    <xf numFmtId="0" fontId="1" fillId="0" borderId="2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49" fontId="4" fillId="0" borderId="11" xfId="0" applyNumberFormat="1" applyFont="1" applyFill="1" applyBorder="1" applyAlignment="1" applyProtection="1">
      <alignment horizontal="center" vertical="center" shrinkToFit="1"/>
      <protection locked="0"/>
    </xf>
    <xf numFmtId="165" fontId="7" fillId="2" borderId="8" xfId="0" applyNumberFormat="1" applyFont="1" applyFill="1" applyBorder="1" applyAlignment="1">
      <alignment horizontal="center" vertical="center"/>
    </xf>
    <xf numFmtId="166" fontId="1" fillId="0" borderId="3" xfId="0" applyNumberFormat="1" applyFont="1" applyBorder="1" applyAlignment="1">
      <alignment horizontal="left" vertical="center"/>
    </xf>
    <xf numFmtId="166" fontId="7" fillId="2" borderId="9" xfId="0" applyNumberFormat="1" applyFont="1" applyFill="1" applyBorder="1" applyAlignment="1">
      <alignment horizontal="left" vertical="center"/>
    </xf>
    <xf numFmtId="166" fontId="7" fillId="2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12"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6998-657C-4539-846A-F19E69FEF4F6}">
  <sheetPr codeName="shHelp"/>
  <dimension ref="B1:H258"/>
  <sheetViews>
    <sheetView showGridLines="0" showRowColHeaders="0" tabSelected="1" zoomScale="89" zoomScaleNormal="89" workbookViewId="0"/>
  </sheetViews>
  <sheetFormatPr defaultRowHeight="14.4" x14ac:dyDescent="0.55000000000000004"/>
  <cols>
    <col min="1" max="1" width="4.5234375" customWidth="1"/>
    <col min="2" max="2" width="14.89453125" bestFit="1" customWidth="1"/>
    <col min="3" max="3" width="69.5234375" bestFit="1" customWidth="1"/>
    <col min="4" max="4" width="14.5234375" bestFit="1" customWidth="1"/>
    <col min="5" max="5" width="40.7890625" customWidth="1"/>
    <col min="6" max="6" width="8.7890625" customWidth="1"/>
    <col min="7" max="12" width="40.7890625" customWidth="1"/>
  </cols>
  <sheetData>
    <row r="1" spans="2:8" ht="28.2" x14ac:dyDescent="1.05">
      <c r="B1" s="1" t="s">
        <v>31</v>
      </c>
      <c r="G1" s="13" t="s">
        <v>11</v>
      </c>
      <c r="H1" s="7" t="s">
        <v>12</v>
      </c>
    </row>
    <row r="2" spans="2:8" x14ac:dyDescent="0.55000000000000004">
      <c r="B2" s="2" t="s">
        <v>0</v>
      </c>
      <c r="G2" s="18" t="s">
        <v>23</v>
      </c>
      <c r="H2" s="18" t="s">
        <v>24</v>
      </c>
    </row>
    <row r="3" spans="2:8" x14ac:dyDescent="0.55000000000000004">
      <c r="B3" s="2" t="s">
        <v>34</v>
      </c>
      <c r="G3" s="19" t="s">
        <v>30</v>
      </c>
      <c r="H3" s="18" t="s">
        <v>30</v>
      </c>
    </row>
    <row r="4" spans="2:8" x14ac:dyDescent="0.55000000000000004">
      <c r="B4" t="s">
        <v>1</v>
      </c>
      <c r="C4" s="21" t="s">
        <v>40</v>
      </c>
    </row>
    <row r="5" spans="2:8" x14ac:dyDescent="0.55000000000000004">
      <c r="C5" s="3"/>
    </row>
    <row r="6" spans="2:8" x14ac:dyDescent="0.55000000000000004">
      <c r="B6" s="4" t="s">
        <v>25</v>
      </c>
      <c r="C6" s="3"/>
    </row>
    <row r="7" spans="2:8" x14ac:dyDescent="0.55000000000000004">
      <c r="B7" s="5" t="str" cm="1">
        <f t="array" aca="1" ref="B7:B16" ca="1">MarkdownForSummaryOfFunctions()</f>
        <v>|Name|Description|</v>
      </c>
      <c r="C7" s="3"/>
    </row>
    <row r="8" spans="2:8" x14ac:dyDescent="0.55000000000000004">
      <c r="B8" s="5" t="str">
        <f ca="1"/>
        <v>|----|-----------|</v>
      </c>
      <c r="C8" s="3"/>
    </row>
    <row r="9" spans="2:8" x14ac:dyDescent="0.55000000000000004">
      <c r="B9" s="5" t="str">
        <f ca="1"/>
        <v>|[JuliaLaunch](#julialaunch)|Launches a local Julia session which listens to the current Excel session and responds to calls to `JuliaEval` etc..|</v>
      </c>
      <c r="C9" s="3"/>
    </row>
    <row r="10" spans="2:8" x14ac:dyDescent="0.55000000000000004">
      <c r="B10" s="5" t="str">
        <f ca="1"/>
        <v>|[JuliaInclude](#juliainclude)|Load a Julia source file into the Julia process, to make additional functions available via `JuliaEval` and `JuliaCall`.|</v>
      </c>
      <c r="C10" s="3"/>
    </row>
    <row r="11" spans="2:8" x14ac:dyDescent="0.55000000000000004">
      <c r="B11" s="5" t="str">
        <f ca="1"/>
        <v>|[JuliaEval](#juliaeval)|Evaluate a Julia expression and return the result to an Excel worksheet.|</v>
      </c>
      <c r="C11" s="3"/>
    </row>
    <row r="12" spans="2:8" x14ac:dyDescent="0.55000000000000004">
      <c r="B12" s="5" t="str">
        <f ca="1"/>
        <v>|[JuliaCall](#juliacall)|Call a named Julia function, passing in data from the worksheet. Returns an error string for results that cannot be displayed on a worksheet (nested arrays, dictionaries etc). `JuliaCallVBA` lifts those restrictions.|</v>
      </c>
      <c r="C12" s="3"/>
    </row>
    <row r="13" spans="2:8" x14ac:dyDescent="0.55000000000000004">
      <c r="B13" s="5" t="str">
        <f ca="1"/>
        <v>|[JuliaSetVar](#juliasetvar)|Set a global variable in the Julia process.|</v>
      </c>
      <c r="C13" s="3"/>
    </row>
    <row r="14" spans="2:8" x14ac:dyDescent="0.55000000000000004">
      <c r="B14" s="5" t="str">
        <f ca="1"/>
        <v>|[JuliaEvalVBA](#juliaevalvba)|Evaluate a Julia expression from VBA . Differs from `JuliaCall` in handling of 1-d arrays and strings longer than 32,767 characters. May return data of types that cannot be displayed on a worksheet, such as a dictionary or an array of arrays.|</v>
      </c>
      <c r="C14" s="3"/>
    </row>
    <row r="15" spans="2:8" x14ac:dyDescent="0.55000000000000004">
      <c r="B15" s="5" t="str">
        <f ca="1"/>
        <v>|[JuliaCallVBA](#juliacallvba)|Call a named Julia function from VBA. Differs from `JuliaCall` in handling of 1-d arrays and strings longer than 32,767 characters. May return data of types that cannot be displayed on a worksheet, such as a dictionary, an array of arrays, or arrays of dimension up to 9.|</v>
      </c>
      <c r="C15" s="3"/>
    </row>
    <row r="16" spans="2:8" x14ac:dyDescent="0.55000000000000004">
      <c r="B16" s="5" t="str">
        <f ca="1"/>
        <v>|[JuliaIsRunning](#juliaisrunning)|Returns TRUE if an instance of Julia is running and "listening" to the current Excel session, or FALSE otherwise.|</v>
      </c>
      <c r="C16" s="3"/>
    </row>
    <row r="17" spans="2:7" x14ac:dyDescent="0.55000000000000004">
      <c r="B17" s="5"/>
      <c r="C17" s="3"/>
    </row>
    <row r="18" spans="2:7" x14ac:dyDescent="0.55000000000000004">
      <c r="B18" s="5"/>
    </row>
    <row r="19" spans="2:7" x14ac:dyDescent="0.55000000000000004">
      <c r="B19" s="5"/>
      <c r="G19" s="3" t="s">
        <v>40</v>
      </c>
    </row>
    <row r="20" spans="2:7" x14ac:dyDescent="0.55000000000000004">
      <c r="B20" s="5"/>
    </row>
    <row r="21" spans="2:7" x14ac:dyDescent="0.55000000000000004">
      <c r="B21" s="4" t="s">
        <v>29</v>
      </c>
      <c r="G21" s="6" t="s">
        <v>2</v>
      </c>
    </row>
    <row r="22" spans="2:7" x14ac:dyDescent="0.55000000000000004">
      <c r="B22" s="5" t="str" cm="1">
        <f t="array" aca="1" ref="B22:B125" ca="1">HelpForVBEAll(SourceFile)</f>
        <v>' -----------------------------------------------------------------------------------------------------------------------</v>
      </c>
      <c r="G22" s="5" t="str" cm="1">
        <f t="array" aca="1" ref="G22:G107" ca="1">MarkdownHelpAll(SourceFile,$G$2:$H$3)</f>
        <v>### `JuliaLaunch`</v>
      </c>
    </row>
    <row r="23" spans="2:7" x14ac:dyDescent="0.55000000000000004">
      <c r="B23" s="5" t="str">
        <f ca="1"/>
        <v>' Procedure : JuliaLaunch</v>
      </c>
      <c r="G23" s="5" t="str">
        <f ca="1"/>
        <v>Launches a local Julia session which listens to the current Excel session and responds to calls to `JuliaEval` etc..</v>
      </c>
    </row>
    <row r="24" spans="2:7" x14ac:dyDescent="0.55000000000000004">
      <c r="B24" s="5" t="str">
        <f ca="1"/>
        <v>' Purpose   : Launches a local Julia session which listens to the current Excel session and responds to</v>
      </c>
      <c r="G24" s="5" t="str">
        <f ca="1"/>
        <v>```vba</v>
      </c>
    </row>
    <row r="25" spans="2:7" x14ac:dyDescent="0.55000000000000004">
      <c r="B25" s="5" t="str">
        <f ca="1"/>
        <v>'             calls to JuliaEval etc..</v>
      </c>
      <c r="G25" s="5" t="str">
        <f ca="1"/>
        <v>Public Function JuliaLaunch(Optional UseLinux As Boolean, Optional MinimiseWindow As Boolean, _</v>
      </c>
    </row>
    <row r="26" spans="2:7" x14ac:dyDescent="0.55000000000000004">
      <c r="B26" s="5" t="str">
        <f ca="1"/>
        <v>' Arguments</v>
      </c>
      <c r="G26" s="5" t="str">
        <f ca="1"/>
        <v xml:space="preserve">          Optional ByVal CommandLineOptions As String, Optional ByVal Packages As String, _</v>
      </c>
    </row>
    <row r="27" spans="2:7" x14ac:dyDescent="0.55000000000000004">
      <c r="B27" s="5" t="str">
        <f ca="1"/>
        <v>' UseLinux  : TRUE to run Julia as a Linux process under Windows Subsystem for Linux; FALSE (the default) to</v>
      </c>
      <c r="G27" s="5" t="str">
        <f ca="1"/>
        <v xml:space="preserve">          Optional ByVal BashStatements As String, Optional TimeOut As Long = 30)</v>
      </c>
    </row>
    <row r="28" spans="2:7" x14ac:dyDescent="0.55000000000000004">
      <c r="B28" s="5" t="str">
        <f ca="1"/>
        <v>'             run as a Windows process.</v>
      </c>
      <c r="G28" s="5" t="str">
        <f ca="1"/>
        <v>```</v>
      </c>
    </row>
    <row r="29" spans="2:7" x14ac:dyDescent="0.55000000000000004">
      <c r="B29" s="5" t="str">
        <f ca="1"/>
        <v>' MinimiseWindow: If TRUE, then the Julia session window is minimised; if FALSE (the default) then the</v>
      </c>
      <c r="G29" s="5" t="str">
        <f ca="1"/>
        <v/>
      </c>
    </row>
    <row r="30" spans="2:7" x14ac:dyDescent="0.55000000000000004">
      <c r="B30" s="5" t="str">
        <f ca="1"/>
        <v>'             window is sized normally.</v>
      </c>
      <c r="G30" s="5" t="str">
        <f ca="1"/>
        <v>|Argument|Description|</v>
      </c>
    </row>
    <row r="31" spans="2:7" x14ac:dyDescent="0.55000000000000004">
      <c r="B31" s="5" t="str">
        <f ca="1"/>
        <v>' CommandLineOptions: Command line options set when launching Julia.</v>
      </c>
      <c r="G31" s="5" t="str">
        <f ca="1"/>
        <v>|:-------|:----------|</v>
      </c>
    </row>
    <row r="32" spans="2:7" x14ac:dyDescent="0.55000000000000004">
      <c r="B32" s="5" t="str">
        <f ca="1"/>
        <v>'             Example : `--banner=no`.</v>
      </c>
      <c r="G32" s="5" t="str">
        <f ca="1"/>
        <v>|`UseLinux`|TRUE to run Julia as a Linux process under Windows Subsystem for Linux; FALSE (the default) to run as a Windows process.|</v>
      </c>
    </row>
    <row r="33" spans="2:7" x14ac:dyDescent="0.55000000000000004">
      <c r="B33" s="5" t="str">
        <f ca="1"/>
        <v>'             If CommandLineOptions does not include a --threads option, `--threads=auto,1` is appended</v>
      </c>
      <c r="G33" s="5" t="str">
        <f ca="1"/>
        <v>|`MinimiseWindow`|If TRUE, then the Julia session window is minimised; if FALSE (the default) then the window is sized normally.|</v>
      </c>
    </row>
    <row r="34" spans="2:7" x14ac:dyDescent="0.55000000000000004">
      <c r="B34" s="5" t="str">
        <f ca="1"/>
        <v>'             automatically, giving the Julia session a dedicated interactive thread alongside its default</v>
      </c>
      <c r="G34" s="5" t="str">
        <f ca="1"/>
        <v>|`CommandLineOptions`|Command line options set when launching Julia.&lt;br/&gt;Example : `--banner=no`.&lt;br/&gt;If `CommandLineOptions` does not include a --threads option, `--threads=auto,1` is appended automatically, giving the Julia session a dedicated interactive thread alongside its default thread pool. Without a dedicated interactive thread, HTTP.jls server tasks share Julia's single thread with whatever expression is currently being evaluated, which can leave the server unable to respond to Excel - or even to shut down cleanly - while a long-running or blocking evaluation is in progress. Supplying your own `--threads` option (e.g. `--threads=8,2`) disables this automatic behaviour, so include a dedicated interactive thread of your own if you need that reliability. https://docs.julialang.org/en/v1/manual/command-line-options/|</v>
      </c>
    </row>
    <row r="35" spans="2:7" x14ac:dyDescent="0.55000000000000004">
      <c r="B35" s="5" t="str">
        <f ca="1"/>
        <v>'             thread pool. Without a dedicated interactive thread, HTTP.jls server tasks share Julia's</v>
      </c>
      <c r="G35" s="5" t="str">
        <f ca="1"/>
        <v>|`Packages`|`Packages` to load, which must be available in the default Julia environment (or environment set via the `--project` command line option). Delimit multiple packages with commas.|</v>
      </c>
    </row>
    <row r="36" spans="2:7" x14ac:dyDescent="0.55000000000000004">
      <c r="B36" s="5" t="str">
        <f ca="1"/>
        <v>'             single thread with whatever expression is currently being evaluated, which can leave the</v>
      </c>
      <c r="G36" s="5" t="str">
        <f ca="1"/>
        <v>|`BashStatements`|Relevant only when `UseLinux` is TRUE. Bash statements executed prior to launching Julia, which can be used to set environment variables. Example `export JULIA_PKG_DEVDIR=/mnt/c/Projects`. Delimit multiple statements with the line feed character.|</v>
      </c>
    </row>
    <row r="37" spans="2:7" x14ac:dyDescent="0.55000000000000004">
      <c r="B37" s="5" t="str">
        <f ca="1"/>
        <v>'             server unable to respond to Excel - or even to shut down cleanly - while a long-running or</v>
      </c>
      <c r="G37" s="5" t="str">
        <f ca="1"/>
        <v>|`TimeOut`|The number of seconds to wait for Julia to fully start (including any package precompilation) before `JuliaLaunch` gives up waiting and returns an informational message rather than an error - Julia is not killed, and calling `JuliaLaunch` or `JuliaEval` again once it has finished starting will work normally. A separate, much shorter internal check (the lesser of `TimeOut` and 5 seconds) detects a genuine launch failure, e.g. from mal-formed `CommandLineOptions`, and reports that as an error immediately. `TimeOut` is optional and defaults to 30.|</v>
      </c>
    </row>
    <row r="38" spans="2:7" x14ac:dyDescent="0.55000000000000004">
      <c r="B38" s="5" t="str">
        <f ca="1"/>
        <v>'             blocking evaluation is in progress. Supplying your own `--threads` option (e.g.</v>
      </c>
      <c r="G38" s="5" t="str">
        <f ca="1"/>
        <v/>
      </c>
    </row>
    <row r="39" spans="2:7" x14ac:dyDescent="0.55000000000000004">
      <c r="B39" s="5" t="str">
        <f ca="1"/>
        <v>'             `--threads=8,2`) disables this automatic behaviour, so include a dedicated interactive thread</v>
      </c>
      <c r="G39" s="5" t="str">
        <f ca="1"/>
        <v>### `JuliaInclude`</v>
      </c>
    </row>
    <row r="40" spans="2:7" x14ac:dyDescent="0.55000000000000004">
      <c r="B40" s="5" t="str">
        <f ca="1"/>
        <v>'             of your own if you need that reliability.</v>
      </c>
      <c r="G40" s="5" t="str">
        <f ca="1"/>
        <v>Load a Julia source file into the Julia process, to make additional functions available via `JuliaEval` and `JuliaCall`.</v>
      </c>
    </row>
    <row r="41" spans="2:7" x14ac:dyDescent="0.55000000000000004">
      <c r="B41" s="5" t="str">
        <f ca="1"/>
        <v>'             https://docs.julialang.org/en/v1/manual/command-line-options/</v>
      </c>
      <c r="G41" s="5" t="str">
        <f ca="1"/>
        <v>```vba</v>
      </c>
    </row>
    <row r="42" spans="2:7" x14ac:dyDescent="0.55000000000000004">
      <c r="B42" s="5" t="str">
        <f ca="1"/>
        <v>' Packages  : Packages to load, which must be available in the default Julia environment (or environment set</v>
      </c>
      <c r="G42" s="5" t="str">
        <f ca="1"/>
        <v>Public Function JuliaInclude(FileName As String)</v>
      </c>
    </row>
    <row r="43" spans="2:7" x14ac:dyDescent="0.55000000000000004">
      <c r="B43" s="5" t="str">
        <f ca="1"/>
        <v>'             via the `--project` command line option). Delimit multiple packages with commas.</v>
      </c>
      <c r="G43" s="5" t="str">
        <f ca="1"/>
        <v>```</v>
      </c>
    </row>
    <row r="44" spans="2:7" x14ac:dyDescent="0.55000000000000004">
      <c r="B44" s="5" t="str">
        <f ca="1"/>
        <v>' BashStatements: Relevant only when UseLinux is TRUE. Bash statements executed prior to launching Julia,</v>
      </c>
      <c r="G44" s="5" t="str">
        <f ca="1"/>
        <v/>
      </c>
    </row>
    <row r="45" spans="2:7" x14ac:dyDescent="0.55000000000000004">
      <c r="B45" s="5" t="str">
        <f ca="1"/>
        <v>'             which can be used to set environment variables. Example `export</v>
      </c>
      <c r="G45" s="5" t="str">
        <f ca="1"/>
        <v>|Argument|Description|</v>
      </c>
    </row>
    <row r="46" spans="2:7" x14ac:dyDescent="0.55000000000000004">
      <c r="B46" s="5" t="str">
        <f ca="1"/>
        <v>'             JULIA_PKG_DEVDIR=/mnt/c/Projects`. Delimit multiple statements with the line feed character.</v>
      </c>
      <c r="G46" s="5" t="str">
        <f ca="1"/>
        <v>|:-------|:----------|</v>
      </c>
    </row>
    <row r="47" spans="2:7" x14ac:dyDescent="0.55000000000000004">
      <c r="B47" s="5" t="str">
        <f ca="1"/>
        <v>' TimeOut   : The number of seconds to wait for Julia to fully start (including any package precompilation)</v>
      </c>
      <c r="G47" s="5" t="str">
        <f ca="1"/>
        <v>|`FileName`|The full name of the file to be included.|</v>
      </c>
    </row>
    <row r="48" spans="2:7" x14ac:dyDescent="0.55000000000000004">
      <c r="B48" s="5" t="str">
        <f ca="1"/>
        <v>'             before JuliaLaunch gives up waiting and returns an informational message rather than an error</v>
      </c>
      <c r="G48" s="5" t="str">
        <f ca="1"/>
        <v/>
      </c>
    </row>
    <row r="49" spans="2:7" x14ac:dyDescent="0.55000000000000004">
      <c r="B49" s="5" t="str">
        <f ca="1"/>
        <v>'             - Julia is not killed, and calling JuliaLaunch or JuliaEval again once it has finished</v>
      </c>
      <c r="G49" s="5" t="str">
        <f ca="1"/>
        <v>### `JuliaEval`</v>
      </c>
    </row>
    <row r="50" spans="2:7" x14ac:dyDescent="0.55000000000000004">
      <c r="B50" s="5" t="str">
        <f ca="1"/>
        <v>'             starting will work normally. A separate, much shorter internal check (the lesser of TimeOut</v>
      </c>
      <c r="G50" s="5" t="str">
        <f ca="1"/>
        <v>Evaluate a Julia expression and return the result to an Excel worksheet.</v>
      </c>
    </row>
    <row r="51" spans="2:7" x14ac:dyDescent="0.55000000000000004">
      <c r="B51" s="5" t="str">
        <f ca="1"/>
        <v>'             and 5 seconds) detects a genuine launch failure, e.g. from mal-formed CommandLineOptions, and</v>
      </c>
      <c r="G51" s="5" t="str">
        <f ca="1"/>
        <v>```vba</v>
      </c>
    </row>
    <row r="52" spans="2:7" x14ac:dyDescent="0.55000000000000004">
      <c r="B52" s="5" t="str">
        <f ca="1"/>
        <v>'             reports that as an error immediately. TimeOut is optional and defaults to 30.</v>
      </c>
      <c r="G52" s="5" t="str">
        <f ca="1"/>
        <v>Public Function JuliaEval(ByVal JuliaExpression As Variant)</v>
      </c>
    </row>
    <row r="53" spans="2:7" x14ac:dyDescent="0.55000000000000004">
      <c r="B53" s="5" t="str">
        <f ca="1"/>
        <v>' -----------------------------------------------------------------------------------------------------------------------</v>
      </c>
      <c r="G53" s="5" t="str">
        <f ca="1"/>
        <v>```</v>
      </c>
    </row>
    <row r="54" spans="2:7" x14ac:dyDescent="0.55000000000000004">
      <c r="B54" s="5" t="str">
        <f ca="1"/>
        <v/>
      </c>
      <c r="G54" s="5" t="str">
        <f ca="1"/>
        <v/>
      </c>
    </row>
    <row r="55" spans="2:7" x14ac:dyDescent="0.55000000000000004">
      <c r="B55" s="5" t="str">
        <f ca="1"/>
        <v/>
      </c>
      <c r="G55" s="5" t="str">
        <f ca="1"/>
        <v>|Argument|Description|</v>
      </c>
    </row>
    <row r="56" spans="2:7" x14ac:dyDescent="0.55000000000000004">
      <c r="B56" s="5" t="str">
        <f ca="1"/>
        <v>' -----------------------------------------------------------------------------------------------------------------------</v>
      </c>
      <c r="G56" s="5" t="str">
        <f ca="1"/>
        <v>|:-------|:----------|</v>
      </c>
    </row>
    <row r="57" spans="2:7" x14ac:dyDescent="0.55000000000000004">
      <c r="B57" s="5" t="str">
        <f ca="1"/>
        <v>' Procedure : JuliaInclude</v>
      </c>
      <c r="G57" s="5" t="str">
        <f ca="1"/>
        <v>|`JuliaExpression`|Any valid Julia code, as a string. Can also be a one-column range to evaluate multiple Julia statements.|</v>
      </c>
    </row>
    <row r="58" spans="2:7" x14ac:dyDescent="0.55000000000000004">
      <c r="B58" s="5" t="str">
        <f ca="1"/>
        <v>' Purpose   : Load a Julia source file into the Julia process, to make additional functions available</v>
      </c>
      <c r="G58" s="5" t="str">
        <f ca="1"/>
        <v/>
      </c>
    </row>
    <row r="59" spans="2:7" x14ac:dyDescent="0.55000000000000004">
      <c r="B59" s="5" t="str">
        <f ca="1"/>
        <v>'             via JuliaEval and JuliaCall.</v>
      </c>
      <c r="G59" s="5" t="str">
        <f ca="1"/>
        <v>### `JuliaCall`</v>
      </c>
    </row>
    <row r="60" spans="2:7" x14ac:dyDescent="0.55000000000000004">
      <c r="B60" s="5" t="str">
        <f ca="1"/>
        <v>' Arguments</v>
      </c>
      <c r="G60" s="5" t="str">
        <f ca="1"/>
        <v>Call a named Julia function, passing in data from the worksheet. Returns an error string for results that cannot be displayed on a worksheet (nested arrays, dictionaries etc). `JuliaCallVBA` lifts those restrictions.</v>
      </c>
    </row>
    <row r="61" spans="2:7" x14ac:dyDescent="0.55000000000000004">
      <c r="B61" s="5" t="str">
        <f ca="1"/>
        <v>' FileName  : The full name of the file to be included.</v>
      </c>
      <c r="G61" s="5" t="str">
        <f ca="1"/>
        <v>```vba</v>
      </c>
    </row>
    <row r="62" spans="2:7" x14ac:dyDescent="0.55000000000000004">
      <c r="B62" s="5" t="str">
        <f ca="1"/>
        <v>' -----------------------------------------------------------------------------------------------------------------------</v>
      </c>
      <c r="G62" s="5" t="str">
        <f ca="1"/>
        <v>Public Function JuliaCall(JuliaFunction As String, ParamArray Args())</v>
      </c>
    </row>
    <row r="63" spans="2:7" x14ac:dyDescent="0.55000000000000004">
      <c r="B63" s="5" t="str">
        <f ca="1"/>
        <v/>
      </c>
      <c r="G63" s="5" t="str">
        <f ca="1"/>
        <v>```</v>
      </c>
    </row>
    <row r="64" spans="2:7" x14ac:dyDescent="0.55000000000000004">
      <c r="B64" s="5" t="str">
        <f ca="1"/>
        <v/>
      </c>
      <c r="G64" s="5" t="str">
        <f ca="1"/>
        <v/>
      </c>
    </row>
    <row r="65" spans="2:7" x14ac:dyDescent="0.55000000000000004">
      <c r="B65" s="5" t="str">
        <f ca="1"/>
        <v>' -----------------------------------------------------------------------------------------------------------------------</v>
      </c>
      <c r="G65" s="5" t="str">
        <f ca="1"/>
        <v>|Argument|Description|</v>
      </c>
    </row>
    <row r="66" spans="2:7" x14ac:dyDescent="0.55000000000000004">
      <c r="B66" s="5" t="str">
        <f ca="1"/>
        <v>' Procedure : JuliaEval</v>
      </c>
      <c r="G66" s="5" t="str">
        <f ca="1"/>
        <v>|:-------|:----------|</v>
      </c>
    </row>
    <row r="67" spans="2:7" x14ac:dyDescent="0.55000000000000004">
      <c r="B67" s="5" t="str">
        <f ca="1"/>
        <v>' Purpose   : Evaluate a Julia expression and return the result to an Excel worksheet.</v>
      </c>
      <c r="G67" s="5" t="str">
        <f ca="1"/>
        <v>|`JuliaFunction`|The name of a Julia function visible from the Julia REPL.|</v>
      </c>
    </row>
    <row r="68" spans="2:7" x14ac:dyDescent="0.55000000000000004">
      <c r="B68" s="5" t="str">
        <f ca="1"/>
        <v>' Arguments</v>
      </c>
      <c r="G68" s="5" t="str">
        <f ca="1"/>
        <v>|`Args...`|Zero or more arguments. Each may be a number, string, Boolean, empty cell, array or Range. Ranges are expanded to their .Value2 before encoding.|</v>
      </c>
    </row>
    <row r="69" spans="2:7" x14ac:dyDescent="0.55000000000000004">
      <c r="B69" s="5" t="str">
        <f ca="1"/>
        <v>' JuliaExpression: Any valid Julia code, as a string. Can also be a one-column range to evaluate multiple</v>
      </c>
      <c r="G69" s="5" t="str">
        <f ca="1"/>
        <v/>
      </c>
    </row>
    <row r="70" spans="2:7" x14ac:dyDescent="0.55000000000000004">
      <c r="B70" s="5" t="str">
        <f ca="1"/>
        <v>'             Julia statements.</v>
      </c>
      <c r="G70" s="5" t="str">
        <f ca="1"/>
        <v>### `JuliaSetVar`</v>
      </c>
    </row>
    <row r="71" spans="2:7" x14ac:dyDescent="0.55000000000000004">
      <c r="B71" s="5" t="str">
        <f ca="1"/>
        <v>' -----------------------------------------------------------------------------------------------------------------------</v>
      </c>
      <c r="G71" s="5" t="str">
        <f ca="1"/>
        <v>Set a global variable in the Julia process.</v>
      </c>
    </row>
    <row r="72" spans="2:7" x14ac:dyDescent="0.55000000000000004">
      <c r="B72" s="5" t="str">
        <f ca="1"/>
        <v/>
      </c>
      <c r="G72" s="5" t="str">
        <f ca="1"/>
        <v>```vba</v>
      </c>
    </row>
    <row r="73" spans="2:7" x14ac:dyDescent="0.55000000000000004">
      <c r="B73" s="5" t="str">
        <f ca="1"/>
        <v/>
      </c>
      <c r="G73" s="5" t="str">
        <f ca="1"/>
        <v>Public Function JuliaSetVar(VariableName As String, RefersTo As Variant)</v>
      </c>
    </row>
    <row r="74" spans="2:7" x14ac:dyDescent="0.55000000000000004">
      <c r="B74" s="5" t="str">
        <f ca="1"/>
        <v>' -----------------------------------------------------------------------------------------------------------------------</v>
      </c>
      <c r="G74" s="5" t="str">
        <f ca="1"/>
        <v>```</v>
      </c>
    </row>
    <row r="75" spans="2:7" x14ac:dyDescent="0.55000000000000004">
      <c r="B75" s="5" t="str">
        <f ca="1"/>
        <v>' Procedure : JuliaCall</v>
      </c>
      <c r="G75" s="5" t="str">
        <f ca="1"/>
        <v/>
      </c>
    </row>
    <row r="76" spans="2:7" x14ac:dyDescent="0.55000000000000004">
      <c r="B76" s="5" t="str">
        <f ca="1"/>
        <v>' Purpose   : Call a named Julia function, passing in data from the worksheet. Returns an error string</v>
      </c>
      <c r="G76" s="5" t="str">
        <f ca="1"/>
        <v>|Argument|Description|</v>
      </c>
    </row>
    <row r="77" spans="2:7" x14ac:dyDescent="0.55000000000000004">
      <c r="B77" s="5" t="str">
        <f ca="1"/>
        <v>'             for results that cannot be displayed on a worksheet (nested arrays, dictionaries etc).</v>
      </c>
      <c r="G77" s="5" t="str">
        <f ca="1"/>
        <v>|:-------|:----------|</v>
      </c>
    </row>
    <row r="78" spans="2:7" x14ac:dyDescent="0.55000000000000004">
      <c r="B78" s="5" t="str">
        <f ca="1"/>
        <v>'             JuliaCallVBA lifts those restrictions.</v>
      </c>
      <c r="G78" s="5" t="str">
        <f ca="1"/>
        <v>|`VariableName`|The name of the variable to be set. Must follow Julia's [rules](https://docs.julialang.org/en/v1/manual/variables/#Allowed-Variable-Names) for allowed variable names.|</v>
      </c>
    </row>
    <row r="79" spans="2:7" x14ac:dyDescent="0.55000000000000004">
      <c r="B79" s="5" t="str">
        <f ca="1"/>
        <v>' Arguments</v>
      </c>
      <c r="G79" s="5" t="str">
        <f ca="1"/>
        <v>|`RefersTo`|An Excel range (from which the .Value2 property is read) or more generally a number, string, Boolean, Empty or array of such types. When called from VBA, nested arrays are supported.|</v>
      </c>
    </row>
    <row r="80" spans="2:7" x14ac:dyDescent="0.55000000000000004">
      <c r="B80" s="5" t="str">
        <f ca="1"/>
        <v>' JuliaFunction: The name of a Julia function visible from the Julia REPL.</v>
      </c>
      <c r="G80" s="5" t="str">
        <f ca="1"/>
        <v/>
      </c>
    </row>
    <row r="81" spans="2:7" x14ac:dyDescent="0.55000000000000004">
      <c r="B81" s="5" t="str">
        <f ca="1"/>
        <v>' Args...   : Zero or more arguments. Each may be a number, string, Boolean, empty cell, array or Range.</v>
      </c>
      <c r="G81" s="5" t="str">
        <f ca="1"/>
        <v>### `JuliaEvalVBA`</v>
      </c>
    </row>
    <row r="82" spans="2:7" x14ac:dyDescent="0.55000000000000004">
      <c r="B82" s="5" t="str">
        <f ca="1"/>
        <v>'             Ranges are expanded to their .Value2 before encoding.</v>
      </c>
      <c r="G82" s="5" t="str">
        <f ca="1"/>
        <v>Evaluate a Julia expression from VBA . Differs from `JuliaCall` in handling of 1-d arrays and strings longer than 32,767 characters. May return data of types that cannot be displayed on a worksheet, such as a dictionary or an array of arrays.</v>
      </c>
    </row>
    <row r="83" spans="2:7" x14ac:dyDescent="0.55000000000000004">
      <c r="B83" s="5" t="str">
        <f ca="1"/>
        <v>' -----------------------------------------------------------------------------------------------------------------------</v>
      </c>
      <c r="G83" s="5" t="str">
        <f ca="1"/>
        <v>```vba</v>
      </c>
    </row>
    <row r="84" spans="2:7" x14ac:dyDescent="0.55000000000000004">
      <c r="B84" s="5" t="str">
        <f ca="1"/>
        <v/>
      </c>
      <c r="G84" s="5" t="str">
        <f ca="1"/>
        <v>Public Function JuliaEvalVBA(ByVal JuliaExpression As Variant)</v>
      </c>
    </row>
    <row r="85" spans="2:7" x14ac:dyDescent="0.55000000000000004">
      <c r="B85" s="5" t="str">
        <f ca="1"/>
        <v/>
      </c>
      <c r="G85" s="5" t="str">
        <f ca="1"/>
        <v>```</v>
      </c>
    </row>
    <row r="86" spans="2:7" x14ac:dyDescent="0.55000000000000004">
      <c r="B86" s="5" t="str">
        <f ca="1"/>
        <v>' -----------------------------------------------------------------------------------------------------------------------</v>
      </c>
      <c r="G86" s="5" t="str">
        <f ca="1"/>
        <v/>
      </c>
    </row>
    <row r="87" spans="2:7" x14ac:dyDescent="0.55000000000000004">
      <c r="B87" s="5" t="str">
        <f ca="1"/>
        <v>' Procedure : JuliaSetVar</v>
      </c>
      <c r="G87" s="5" t="str">
        <f ca="1"/>
        <v>|Argument|Description|</v>
      </c>
    </row>
    <row r="88" spans="2:7" x14ac:dyDescent="0.55000000000000004">
      <c r="B88" s="5" t="str">
        <f ca="1"/>
        <v>' Purpose   : Set a global variable in the Julia process.</v>
      </c>
      <c r="G88" s="5" t="str">
        <f ca="1"/>
        <v>|:-------|:----------|</v>
      </c>
    </row>
    <row r="89" spans="2:7" x14ac:dyDescent="0.55000000000000004">
      <c r="B89" s="5" t="str">
        <f ca="1"/>
        <v>' Arguments</v>
      </c>
      <c r="G89" s="5" t="str">
        <f ca="1"/>
        <v>|`JuliaExpression`|Any valid Julia code, as a string. Can also be a one-column range to evaluate multiple Julia statements.|</v>
      </c>
    </row>
    <row r="90" spans="2:7" x14ac:dyDescent="0.55000000000000004">
      <c r="B90" s="5" t="str">
        <f ca="1"/>
        <v>' VariableName: The name of the variable to be set. Must follow Julia's rules for allowed variable names.</v>
      </c>
      <c r="G90" s="5" t="str">
        <f ca="1"/>
        <v/>
      </c>
    </row>
    <row r="91" spans="2:7" x14ac:dyDescent="0.55000000000000004">
      <c r="B91" s="5" t="str">
        <f ca="1"/>
        <v>' RefersTo  : An Excel range (from which the .Value2 property is read) or more generally a number, string,</v>
      </c>
      <c r="G91" s="5" t="str">
        <f ca="1"/>
        <v>### `JuliaCallVBA`</v>
      </c>
    </row>
    <row r="92" spans="2:7" x14ac:dyDescent="0.55000000000000004">
      <c r="B92" s="5" t="str">
        <f ca="1"/>
        <v>'             Boolean, Empty or array of such types. When called from VBA, nested arrays are supported.</v>
      </c>
      <c r="G92" s="5" t="str">
        <f ca="1"/>
        <v>Call a named Julia function from VBA. Differs from `JuliaCall` in handling of 1-d arrays and strings longer than 32,767 characters. May return data of types that cannot be displayed on a worksheet, such as a dictionary, an array of arrays, or arrays of dimension up to 9.</v>
      </c>
    </row>
    <row r="93" spans="2:7" x14ac:dyDescent="0.55000000000000004">
      <c r="B93" s="5" t="str">
        <f ca="1"/>
        <v>' -----------------------------------------------------------------------------------------------------------------------</v>
      </c>
      <c r="G93" s="5" t="str">
        <f ca="1"/>
        <v>```vba</v>
      </c>
    </row>
    <row r="94" spans="2:7" x14ac:dyDescent="0.55000000000000004">
      <c r="B94" s="5" t="str">
        <f ca="1"/>
        <v/>
      </c>
      <c r="G94" s="5" t="str">
        <f ca="1"/>
        <v>Public Function JuliaCallVBA(JuliaFunction As String, ParamArray Args())</v>
      </c>
    </row>
    <row r="95" spans="2:7" x14ac:dyDescent="0.55000000000000004">
      <c r="B95" s="5" t="str">
        <f ca="1"/>
        <v/>
      </c>
      <c r="G95" s="5" t="str">
        <f ca="1"/>
        <v>```</v>
      </c>
    </row>
    <row r="96" spans="2:7" x14ac:dyDescent="0.55000000000000004">
      <c r="B96" s="5" t="str">
        <f ca="1"/>
        <v>' -----------------------------------------------------------------------------------------------------------------------</v>
      </c>
      <c r="G96" s="5" t="str">
        <f ca="1"/>
        <v/>
      </c>
    </row>
    <row r="97" spans="2:8" x14ac:dyDescent="0.55000000000000004">
      <c r="B97" s="5" t="str">
        <f ca="1"/>
        <v>' Procedure : JuliaEvalVBA</v>
      </c>
      <c r="G97" s="5" t="str">
        <f ca="1"/>
        <v>|Argument|Description|</v>
      </c>
      <c r="H97" s="5"/>
    </row>
    <row r="98" spans="2:8" x14ac:dyDescent="0.55000000000000004">
      <c r="B98" s="5" t="str">
        <f ca="1"/>
        <v>' Purpose   : Evaluate a Julia expression from VBA . Differs from JuliaCall in handling of 1-d arrays</v>
      </c>
      <c r="G98" s="5" t="str">
        <f ca="1"/>
        <v>|:-------|:----------|</v>
      </c>
    </row>
    <row r="99" spans="2:8" x14ac:dyDescent="0.55000000000000004">
      <c r="B99" s="5" t="str">
        <f ca="1"/>
        <v>'             and strings longer than 32,767 characters. May return data of types that cannot be displayed</v>
      </c>
      <c r="G99" s="5" t="str">
        <f ca="1"/>
        <v>|`JuliaFunction`|The name of a Julia function visible from the Julia REPL.|</v>
      </c>
    </row>
    <row r="100" spans="2:8" x14ac:dyDescent="0.55000000000000004">
      <c r="B100" s="5" t="str">
        <f ca="1"/>
        <v>'             on a worksheet, such as a dictionary or an array of arrays.</v>
      </c>
      <c r="G100" s="5" t="str">
        <f ca="1"/>
        <v>|`Args...`|Zero or more arguments. Each may be a number, string, Boolean, empty cell, array or Range. Ranges are expanded to their .Value2 before encoding.|</v>
      </c>
    </row>
    <row r="101" spans="2:8" x14ac:dyDescent="0.55000000000000004">
      <c r="B101" s="5" t="str">
        <f ca="1"/>
        <v>' Arguments</v>
      </c>
      <c r="G101" s="5" t="str">
        <f ca="1"/>
        <v/>
      </c>
    </row>
    <row r="102" spans="2:8" x14ac:dyDescent="0.55000000000000004">
      <c r="B102" s="5" t="str">
        <f ca="1"/>
        <v>' JuliaExpression: Any valid Julia code, as a string. Can also be a one-column range to evaluate multiple</v>
      </c>
      <c r="G102" s="5" t="str">
        <f ca="1"/>
        <v>### `JuliaIsRunning`</v>
      </c>
    </row>
    <row r="103" spans="2:8" x14ac:dyDescent="0.55000000000000004">
      <c r="B103" s="5" t="str">
        <f ca="1"/>
        <v>'             Julia statements.</v>
      </c>
      <c r="G103" s="5" t="str">
        <f ca="1"/>
        <v>Returns TRUE if an instance of Julia is running and "listening" to the current Excel session, or FALSE otherwise.</v>
      </c>
    </row>
    <row r="104" spans="2:8" x14ac:dyDescent="0.55000000000000004">
      <c r="B104" s="5" t="str">
        <f ca="1"/>
        <v>' -----------------------------------------------------------------------------------------------------------------------</v>
      </c>
      <c r="G104" s="5" t="str">
        <f ca="1"/>
        <v>```vba</v>
      </c>
    </row>
    <row r="105" spans="2:8" x14ac:dyDescent="0.55000000000000004">
      <c r="B105" s="5" t="str">
        <f ca="1"/>
        <v/>
      </c>
      <c r="G105" s="5" t="str">
        <f ca="1"/>
        <v>Public Function JuliaIsRunning() As Boolean</v>
      </c>
    </row>
    <row r="106" spans="2:8" x14ac:dyDescent="0.55000000000000004">
      <c r="B106" s="5" t="str">
        <f ca="1"/>
        <v/>
      </c>
      <c r="G106" s="5" t="str">
        <f ca="1"/>
        <v>```</v>
      </c>
    </row>
    <row r="107" spans="2:8" x14ac:dyDescent="0.55000000000000004">
      <c r="B107" s="5" t="str">
        <f ca="1"/>
        <v>' -----------------------------------------------------------------------------------------------------------------------</v>
      </c>
      <c r="G107" s="5" t="str">
        <f ca="1"/>
        <v/>
      </c>
    </row>
    <row r="108" spans="2:8" x14ac:dyDescent="0.55000000000000004">
      <c r="B108" s="5" t="str">
        <f ca="1"/>
        <v>' Procedure : JuliaCallVBA</v>
      </c>
      <c r="G108" s="5"/>
    </row>
    <row r="109" spans="2:8" x14ac:dyDescent="0.55000000000000004">
      <c r="B109" s="5" t="str">
        <f ca="1"/>
        <v>' Purpose   : Call a named Julia function from VBA. Differs from JuliaCall in handling of 1-d arrays and</v>
      </c>
      <c r="G109" s="5"/>
    </row>
    <row r="110" spans="2:8" x14ac:dyDescent="0.55000000000000004">
      <c r="B110" s="5" t="str">
        <f ca="1"/>
        <v>'             strings longer than 32,767 characters. May return data of types that cannot be displayed on a</v>
      </c>
      <c r="G110" s="5"/>
    </row>
    <row r="111" spans="2:8" x14ac:dyDescent="0.55000000000000004">
      <c r="B111" s="5" t="str">
        <f ca="1"/>
        <v>'             worksheet, such as a dictionary, an array of arrays, or arrays of dimension up to 9.</v>
      </c>
      <c r="G111" s="5"/>
    </row>
    <row r="112" spans="2:8" x14ac:dyDescent="0.55000000000000004">
      <c r="B112" s="5" t="str">
        <f ca="1"/>
        <v>' Arguments</v>
      </c>
      <c r="G112" s="5"/>
    </row>
    <row r="113" spans="2:7" x14ac:dyDescent="0.55000000000000004">
      <c r="B113" s="5" t="str">
        <f ca="1"/>
        <v>' JuliaFunction: The name of a Julia function visible from the Julia REPL.</v>
      </c>
      <c r="G113" s="5"/>
    </row>
    <row r="114" spans="2:7" x14ac:dyDescent="0.55000000000000004">
      <c r="B114" s="5" t="str">
        <f ca="1"/>
        <v>' Args...   : Zero or more arguments. Each may be a number, string, Boolean, empty cell, array or Range.</v>
      </c>
      <c r="G114" s="5"/>
    </row>
    <row r="115" spans="2:7" x14ac:dyDescent="0.55000000000000004">
      <c r="B115" s="5" t="str">
        <f ca="1"/>
        <v>'             Ranges are expanded to their .Value2 before encoding.</v>
      </c>
      <c r="G115" s="5"/>
    </row>
    <row r="116" spans="2:7" x14ac:dyDescent="0.55000000000000004">
      <c r="B116" s="5" t="str">
        <f ca="1"/>
        <v>' -----------------------------------------------------------------------------------------------------------------------</v>
      </c>
      <c r="G116" s="5"/>
    </row>
    <row r="117" spans="2:7" x14ac:dyDescent="0.55000000000000004">
      <c r="B117" s="5" t="str">
        <f ca="1"/>
        <v/>
      </c>
      <c r="G117" s="5"/>
    </row>
    <row r="118" spans="2:7" x14ac:dyDescent="0.55000000000000004">
      <c r="B118" s="5" t="str">
        <f ca="1"/>
        <v/>
      </c>
      <c r="G118" s="5"/>
    </row>
    <row r="119" spans="2:7" x14ac:dyDescent="0.55000000000000004">
      <c r="B119" s="5" t="str">
        <f ca="1"/>
        <v>' -----------------------------------------------------------------------------------------------------------------------</v>
      </c>
      <c r="G119" s="5"/>
    </row>
    <row r="120" spans="2:7" x14ac:dyDescent="0.55000000000000004">
      <c r="B120" s="5" t="str">
        <f ca="1"/>
        <v>' Procedure : JuliaIsRunning</v>
      </c>
      <c r="G120" s="5"/>
    </row>
    <row r="121" spans="2:7" x14ac:dyDescent="0.55000000000000004">
      <c r="B121" s="5" t="str">
        <f ca="1"/>
        <v>' Purpose   : Returns TRUE if an instance of Julia is running and "listening" to the current Excel</v>
      </c>
      <c r="G121" s="5"/>
    </row>
    <row r="122" spans="2:7" x14ac:dyDescent="0.55000000000000004">
      <c r="B122" s="5" t="str">
        <f ca="1"/>
        <v>'             session, or FALSE otherwise.</v>
      </c>
      <c r="G122" s="5"/>
    </row>
    <row r="123" spans="2:7" x14ac:dyDescent="0.55000000000000004">
      <c r="B123" s="5" t="str">
        <f ca="1"/>
        <v>' -----------------------------------------------------------------------------------------------------------------------</v>
      </c>
      <c r="G123" s="5"/>
    </row>
    <row r="124" spans="2:7" x14ac:dyDescent="0.55000000000000004">
      <c r="B124" s="5" t="str">
        <f ca="1"/>
        <v/>
      </c>
      <c r="G124" s="5"/>
    </row>
    <row r="125" spans="2:7" x14ac:dyDescent="0.55000000000000004">
      <c r="B125" s="5" t="str">
        <f ca="1"/>
        <v/>
      </c>
      <c r="G125" s="5"/>
    </row>
    <row r="126" spans="2:7" x14ac:dyDescent="0.55000000000000004">
      <c r="B126" s="5"/>
      <c r="G126" s="5"/>
    </row>
    <row r="127" spans="2:7" x14ac:dyDescent="0.55000000000000004">
      <c r="B127" s="5"/>
      <c r="G127" s="5"/>
    </row>
    <row r="128" spans="2:7" x14ac:dyDescent="0.55000000000000004">
      <c r="B128" s="5"/>
      <c r="G128" s="5"/>
    </row>
    <row r="129" spans="2:7" x14ac:dyDescent="0.55000000000000004">
      <c r="B129" s="5"/>
      <c r="G129" s="5"/>
    </row>
    <row r="130" spans="2:7" x14ac:dyDescent="0.55000000000000004">
      <c r="B130" s="5"/>
      <c r="G130" s="5"/>
    </row>
    <row r="131" spans="2:7" x14ac:dyDescent="0.55000000000000004">
      <c r="B131" s="5"/>
      <c r="G131" s="5"/>
    </row>
    <row r="132" spans="2:7" x14ac:dyDescent="0.55000000000000004">
      <c r="B132" s="5"/>
      <c r="G132" s="5"/>
    </row>
    <row r="133" spans="2:7" x14ac:dyDescent="0.55000000000000004">
      <c r="B133" s="5"/>
      <c r="G133" s="5"/>
    </row>
    <row r="134" spans="2:7" x14ac:dyDescent="0.55000000000000004">
      <c r="B134" s="5"/>
      <c r="G134" s="5"/>
    </row>
    <row r="135" spans="2:7" x14ac:dyDescent="0.55000000000000004">
      <c r="B135" s="5"/>
      <c r="G135" s="5"/>
    </row>
    <row r="136" spans="2:7" x14ac:dyDescent="0.55000000000000004">
      <c r="B136" s="5"/>
      <c r="G136" s="5"/>
    </row>
    <row r="137" spans="2:7" x14ac:dyDescent="0.55000000000000004">
      <c r="B137" s="5"/>
      <c r="G137" s="5"/>
    </row>
    <row r="138" spans="2:7" x14ac:dyDescent="0.55000000000000004">
      <c r="B138" s="5"/>
      <c r="G138" s="5"/>
    </row>
    <row r="139" spans="2:7" x14ac:dyDescent="0.55000000000000004">
      <c r="B139" s="5"/>
      <c r="G139" s="5"/>
    </row>
    <row r="140" spans="2:7" x14ac:dyDescent="0.55000000000000004">
      <c r="B140" s="5"/>
      <c r="G140" s="5"/>
    </row>
    <row r="141" spans="2:7" x14ac:dyDescent="0.55000000000000004">
      <c r="B141" s="5"/>
      <c r="G141" s="5"/>
    </row>
    <row r="142" spans="2:7" x14ac:dyDescent="0.55000000000000004">
      <c r="B142" s="5"/>
      <c r="G142" s="5"/>
    </row>
    <row r="143" spans="2:7" x14ac:dyDescent="0.55000000000000004">
      <c r="B143" s="5"/>
      <c r="G143" s="5"/>
    </row>
    <row r="144" spans="2:7" x14ac:dyDescent="0.55000000000000004">
      <c r="B144" s="5"/>
      <c r="G144" s="5"/>
    </row>
    <row r="145" spans="2:7" x14ac:dyDescent="0.55000000000000004">
      <c r="B145" s="5"/>
      <c r="G145" s="5"/>
    </row>
    <row r="146" spans="2:7" x14ac:dyDescent="0.55000000000000004">
      <c r="B146" s="5"/>
      <c r="G146" s="5"/>
    </row>
    <row r="147" spans="2:7" x14ac:dyDescent="0.55000000000000004">
      <c r="B147" s="5"/>
      <c r="G147" s="5"/>
    </row>
    <row r="148" spans="2:7" x14ac:dyDescent="0.55000000000000004">
      <c r="B148" s="5"/>
      <c r="G148" s="5"/>
    </row>
    <row r="149" spans="2:7" x14ac:dyDescent="0.55000000000000004">
      <c r="B149" s="5"/>
      <c r="G149" s="5"/>
    </row>
    <row r="150" spans="2:7" x14ac:dyDescent="0.55000000000000004">
      <c r="B150" s="5"/>
      <c r="G150" s="5"/>
    </row>
    <row r="151" spans="2:7" x14ac:dyDescent="0.55000000000000004">
      <c r="B151" s="5"/>
      <c r="G151" s="5"/>
    </row>
    <row r="152" spans="2:7" x14ac:dyDescent="0.55000000000000004">
      <c r="B152" s="5"/>
      <c r="G152" s="5"/>
    </row>
    <row r="153" spans="2:7" x14ac:dyDescent="0.55000000000000004">
      <c r="B153" s="5"/>
      <c r="G153" s="5"/>
    </row>
    <row r="154" spans="2:7" x14ac:dyDescent="0.55000000000000004">
      <c r="B154" s="5"/>
      <c r="G154" s="5"/>
    </row>
    <row r="155" spans="2:7" x14ac:dyDescent="0.55000000000000004">
      <c r="B155" s="5"/>
      <c r="G155" s="5"/>
    </row>
    <row r="156" spans="2:7" x14ac:dyDescent="0.55000000000000004">
      <c r="B156" s="5"/>
      <c r="G156" s="5"/>
    </row>
    <row r="157" spans="2:7" x14ac:dyDescent="0.55000000000000004">
      <c r="G157" s="5"/>
    </row>
    <row r="158" spans="2:7" x14ac:dyDescent="0.55000000000000004">
      <c r="G158" s="5"/>
    </row>
    <row r="159" spans="2:7" x14ac:dyDescent="0.55000000000000004">
      <c r="G159" s="5"/>
    </row>
    <row r="160" spans="2:7" x14ac:dyDescent="0.55000000000000004">
      <c r="G160" s="5"/>
    </row>
    <row r="165" spans="2:7" x14ac:dyDescent="0.55000000000000004">
      <c r="G165" s="5"/>
    </row>
    <row r="166" spans="2:7" x14ac:dyDescent="0.55000000000000004">
      <c r="G166" s="5"/>
    </row>
    <row r="171" spans="2:7" x14ac:dyDescent="0.55000000000000004">
      <c r="B171" s="5"/>
    </row>
    <row r="172" spans="2:7" x14ac:dyDescent="0.55000000000000004">
      <c r="B172" s="5"/>
    </row>
    <row r="173" spans="2:7" x14ac:dyDescent="0.55000000000000004">
      <c r="B173" s="5"/>
    </row>
    <row r="174" spans="2:7" x14ac:dyDescent="0.55000000000000004">
      <c r="B174" s="5"/>
    </row>
    <row r="175" spans="2:7" x14ac:dyDescent="0.55000000000000004">
      <c r="B175" s="5"/>
    </row>
    <row r="176" spans="2:7" x14ac:dyDescent="0.55000000000000004">
      <c r="B176" s="5"/>
    </row>
    <row r="177" spans="2:2" x14ac:dyDescent="0.55000000000000004">
      <c r="B177" s="5"/>
    </row>
    <row r="178" spans="2:2" x14ac:dyDescent="0.55000000000000004">
      <c r="B178" s="5"/>
    </row>
    <row r="179" spans="2:2" x14ac:dyDescent="0.55000000000000004">
      <c r="B179" s="5"/>
    </row>
    <row r="180" spans="2:2" x14ac:dyDescent="0.55000000000000004">
      <c r="B180" s="5"/>
    </row>
    <row r="181" spans="2:2" x14ac:dyDescent="0.55000000000000004">
      <c r="B181" s="5"/>
    </row>
    <row r="182" spans="2:2" x14ac:dyDescent="0.55000000000000004">
      <c r="B182" s="5"/>
    </row>
    <row r="183" spans="2:2" x14ac:dyDescent="0.55000000000000004">
      <c r="B183" s="5"/>
    </row>
    <row r="184" spans="2:2" x14ac:dyDescent="0.55000000000000004">
      <c r="B184" s="5"/>
    </row>
    <row r="185" spans="2:2" x14ac:dyDescent="0.55000000000000004">
      <c r="B185" s="5"/>
    </row>
    <row r="186" spans="2:2" x14ac:dyDescent="0.55000000000000004">
      <c r="B186" s="5"/>
    </row>
    <row r="187" spans="2:2" x14ac:dyDescent="0.55000000000000004">
      <c r="B187" s="5"/>
    </row>
    <row r="188" spans="2:2" x14ac:dyDescent="0.55000000000000004">
      <c r="B188" s="5"/>
    </row>
    <row r="189" spans="2:2" x14ac:dyDescent="0.55000000000000004">
      <c r="B189" s="5"/>
    </row>
    <row r="190" spans="2:2" x14ac:dyDescent="0.55000000000000004">
      <c r="B190" s="5"/>
    </row>
    <row r="191" spans="2:2" x14ac:dyDescent="0.55000000000000004">
      <c r="B191" s="5"/>
    </row>
    <row r="192" spans="2:2" x14ac:dyDescent="0.55000000000000004">
      <c r="B192" s="5"/>
    </row>
    <row r="193" spans="2:2" x14ac:dyDescent="0.55000000000000004">
      <c r="B193" s="5"/>
    </row>
    <row r="194" spans="2:2" x14ac:dyDescent="0.55000000000000004">
      <c r="B194" s="5"/>
    </row>
    <row r="195" spans="2:2" x14ac:dyDescent="0.55000000000000004">
      <c r="B195" s="5"/>
    </row>
    <row r="196" spans="2:2" x14ac:dyDescent="0.55000000000000004">
      <c r="B196" s="5"/>
    </row>
    <row r="197" spans="2:2" x14ac:dyDescent="0.55000000000000004">
      <c r="B197" s="5"/>
    </row>
    <row r="198" spans="2:2" x14ac:dyDescent="0.55000000000000004">
      <c r="B198" s="5"/>
    </row>
    <row r="199" spans="2:2" x14ac:dyDescent="0.55000000000000004">
      <c r="B199" s="5"/>
    </row>
    <row r="200" spans="2:2" x14ac:dyDescent="0.55000000000000004">
      <c r="B200" s="5"/>
    </row>
    <row r="201" spans="2:2" x14ac:dyDescent="0.55000000000000004">
      <c r="B201" s="5"/>
    </row>
    <row r="202" spans="2:2" x14ac:dyDescent="0.55000000000000004">
      <c r="B202" s="5"/>
    </row>
    <row r="203" spans="2:2" x14ac:dyDescent="0.55000000000000004">
      <c r="B203" s="5"/>
    </row>
    <row r="204" spans="2:2" x14ac:dyDescent="0.55000000000000004">
      <c r="B204" s="5"/>
    </row>
    <row r="205" spans="2:2" x14ac:dyDescent="0.55000000000000004">
      <c r="B205" s="5"/>
    </row>
    <row r="206" spans="2:2" x14ac:dyDescent="0.55000000000000004">
      <c r="B206" s="5"/>
    </row>
    <row r="207" spans="2:2" x14ac:dyDescent="0.55000000000000004">
      <c r="B207" s="5"/>
    </row>
    <row r="208" spans="2:2" x14ac:dyDescent="0.55000000000000004">
      <c r="B208" s="5"/>
    </row>
    <row r="209" spans="2:2" x14ac:dyDescent="0.55000000000000004">
      <c r="B209" s="5"/>
    </row>
    <row r="210" spans="2:2" x14ac:dyDescent="0.55000000000000004">
      <c r="B210" s="5"/>
    </row>
    <row r="211" spans="2:2" x14ac:dyDescent="0.55000000000000004">
      <c r="B211" s="5"/>
    </row>
    <row r="212" spans="2:2" x14ac:dyDescent="0.55000000000000004">
      <c r="B212" s="5"/>
    </row>
    <row r="238" spans="2:2" x14ac:dyDescent="0.55000000000000004">
      <c r="B238" s="5"/>
    </row>
    <row r="239" spans="2:2" x14ac:dyDescent="0.55000000000000004">
      <c r="B239" s="5"/>
    </row>
    <row r="240" spans="2:2" x14ac:dyDescent="0.55000000000000004">
      <c r="B240" s="5"/>
    </row>
    <row r="241" spans="2:2" x14ac:dyDescent="0.55000000000000004">
      <c r="B241" s="5"/>
    </row>
    <row r="242" spans="2:2" x14ac:dyDescent="0.55000000000000004">
      <c r="B242" s="5"/>
    </row>
    <row r="243" spans="2:2" x14ac:dyDescent="0.55000000000000004">
      <c r="B243" s="5"/>
    </row>
    <row r="244" spans="2:2" x14ac:dyDescent="0.55000000000000004">
      <c r="B244" s="5"/>
    </row>
    <row r="245" spans="2:2" x14ac:dyDescent="0.55000000000000004">
      <c r="B245" s="5"/>
    </row>
    <row r="246" spans="2:2" x14ac:dyDescent="0.55000000000000004">
      <c r="B246" s="5"/>
    </row>
    <row r="247" spans="2:2" x14ac:dyDescent="0.55000000000000004">
      <c r="B247" s="5"/>
    </row>
    <row r="248" spans="2:2" x14ac:dyDescent="0.55000000000000004">
      <c r="B248" s="5"/>
    </row>
    <row r="249" spans="2:2" x14ac:dyDescent="0.55000000000000004">
      <c r="B249" s="5"/>
    </row>
    <row r="250" spans="2:2" x14ac:dyDescent="0.55000000000000004">
      <c r="B250" s="5"/>
    </row>
    <row r="251" spans="2:2" x14ac:dyDescent="0.55000000000000004">
      <c r="B251" s="5"/>
    </row>
    <row r="252" spans="2:2" x14ac:dyDescent="0.55000000000000004">
      <c r="B252" s="5"/>
    </row>
    <row r="253" spans="2:2" x14ac:dyDescent="0.55000000000000004">
      <c r="B253" s="5"/>
    </row>
    <row r="254" spans="2:2" x14ac:dyDescent="0.55000000000000004">
      <c r="B254" s="5"/>
    </row>
    <row r="255" spans="2:2" x14ac:dyDescent="0.55000000000000004">
      <c r="B255" s="5"/>
    </row>
    <row r="256" spans="2:2" x14ac:dyDescent="0.55000000000000004">
      <c r="B256" s="5"/>
    </row>
    <row r="257" spans="2:2" x14ac:dyDescent="0.55000000000000004">
      <c r="B257" s="5"/>
    </row>
    <row r="258" spans="2:2" x14ac:dyDescent="0.55000000000000004">
      <c r="B258" s="5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202F-415E-4639-9ED3-1B79D752DCD9}">
  <sheetPr codeName="shAudit"/>
  <dimension ref="B1:F34"/>
  <sheetViews>
    <sheetView showGridLines="0" showRowColHeaders="0" workbookViewId="0"/>
  </sheetViews>
  <sheetFormatPr defaultRowHeight="14.4" x14ac:dyDescent="0.55000000000000004"/>
  <cols>
    <col min="1" max="1" width="2.41796875" customWidth="1"/>
    <col min="2" max="2" width="7.7890625" customWidth="1"/>
    <col min="3" max="3" width="11.7890625" customWidth="1"/>
    <col min="4" max="4" width="5.41796875" customWidth="1"/>
    <col min="5" max="5" width="14.7890625" customWidth="1"/>
    <col min="6" max="6" width="155.41796875" customWidth="1"/>
  </cols>
  <sheetData>
    <row r="1" spans="2:6" ht="28.2" x14ac:dyDescent="1.05">
      <c r="B1" s="8" t="s">
        <v>3</v>
      </c>
    </row>
    <row r="3" spans="2:6" x14ac:dyDescent="0.55000000000000004">
      <c r="B3" t="s">
        <v>45</v>
      </c>
    </row>
    <row r="4" spans="2:6" x14ac:dyDescent="0.55000000000000004">
      <c r="B4" s="26" t="s">
        <v>41</v>
      </c>
      <c r="C4" s="26" t="s">
        <v>42</v>
      </c>
      <c r="D4" s="26" t="s">
        <v>41</v>
      </c>
      <c r="E4" s="26" t="s">
        <v>42</v>
      </c>
      <c r="F4" s="26" t="s">
        <v>43</v>
      </c>
    </row>
    <row r="5" spans="2:6" x14ac:dyDescent="0.55000000000000004">
      <c r="B5" s="22" t="s">
        <v>4</v>
      </c>
      <c r="C5" s="23" t="s">
        <v>5</v>
      </c>
      <c r="D5" s="28" t="s">
        <v>6</v>
      </c>
      <c r="E5" s="24" t="s">
        <v>7</v>
      </c>
      <c r="F5" s="25" t="s">
        <v>8</v>
      </c>
    </row>
    <row r="6" spans="2:6" x14ac:dyDescent="0.55000000000000004">
      <c r="B6" s="27">
        <v>29</v>
      </c>
      <c r="C6" s="14">
        <v>46247</v>
      </c>
      <c r="D6" s="29">
        <v>0.66188657407474238</v>
      </c>
      <c r="E6" s="15" t="s">
        <v>9</v>
      </c>
      <c r="F6" s="16" t="s">
        <v>46</v>
      </c>
    </row>
    <row r="7" spans="2:6" x14ac:dyDescent="0.55000000000000004">
      <c r="B7" s="20">
        <v>28</v>
      </c>
      <c r="C7" s="14">
        <v>46244</v>
      </c>
      <c r="D7" s="29">
        <v>0.76690972222422715</v>
      </c>
      <c r="E7" s="15" t="s">
        <v>9</v>
      </c>
      <c r="F7" s="16" t="s">
        <v>44</v>
      </c>
    </row>
    <row r="8" spans="2:6" x14ac:dyDescent="0.55000000000000004">
      <c r="B8" s="20">
        <v>27</v>
      </c>
      <c r="C8" s="14">
        <v>44538</v>
      </c>
      <c r="D8" s="29">
        <v>0.72820601851708489</v>
      </c>
      <c r="E8" s="15" t="s">
        <v>9</v>
      </c>
      <c r="F8" s="16" t="s">
        <v>38</v>
      </c>
    </row>
    <row r="9" spans="2:6" x14ac:dyDescent="0.55000000000000004">
      <c r="B9" s="20">
        <v>26</v>
      </c>
      <c r="C9" s="14">
        <v>44537</v>
      </c>
      <c r="D9" s="29">
        <v>0.64126157407736173</v>
      </c>
      <c r="E9" s="15" t="s">
        <v>9</v>
      </c>
      <c r="F9" s="16" t="s">
        <v>38</v>
      </c>
    </row>
    <row r="10" spans="2:6" x14ac:dyDescent="0.55000000000000004">
      <c r="B10" s="20">
        <v>25</v>
      </c>
      <c r="C10" s="14">
        <v>44536</v>
      </c>
      <c r="D10" s="29">
        <v>0.73653935184847796</v>
      </c>
      <c r="E10" s="15" t="s">
        <v>9</v>
      </c>
      <c r="F10" s="16" t="s">
        <v>38</v>
      </c>
    </row>
    <row r="11" spans="2:6" x14ac:dyDescent="0.55000000000000004">
      <c r="B11" s="20">
        <v>24</v>
      </c>
      <c r="C11" s="14">
        <v>44533</v>
      </c>
      <c r="D11" s="29">
        <v>0.63098379629809642</v>
      </c>
      <c r="E11" s="15" t="s">
        <v>9</v>
      </c>
      <c r="F11" s="16" t="s">
        <v>39</v>
      </c>
    </row>
    <row r="12" spans="2:6" x14ac:dyDescent="0.55000000000000004">
      <c r="B12" s="20">
        <v>23</v>
      </c>
      <c r="C12" s="14">
        <v>44532</v>
      </c>
      <c r="D12" s="29">
        <v>0.74035879629809642</v>
      </c>
      <c r="E12" s="15" t="s">
        <v>9</v>
      </c>
      <c r="F12" s="16" t="s">
        <v>38</v>
      </c>
    </row>
    <row r="13" spans="2:6" x14ac:dyDescent="0.55000000000000004">
      <c r="B13" s="20">
        <v>22</v>
      </c>
      <c r="C13" s="14">
        <v>44531</v>
      </c>
      <c r="D13" s="29">
        <v>0.78422453703387873</v>
      </c>
      <c r="E13" s="15" t="s">
        <v>9</v>
      </c>
      <c r="F13" s="17" t="s">
        <v>37</v>
      </c>
    </row>
    <row r="14" spans="2:6" x14ac:dyDescent="0.55000000000000004">
      <c r="B14" s="20">
        <v>21</v>
      </c>
      <c r="C14" s="14">
        <v>44517</v>
      </c>
      <c r="D14" s="29">
        <v>0.51997685185051523</v>
      </c>
      <c r="E14" s="15" t="s">
        <v>9</v>
      </c>
      <c r="F14" s="16" t="s">
        <v>36</v>
      </c>
    </row>
    <row r="15" spans="2:6" x14ac:dyDescent="0.55000000000000004">
      <c r="B15" s="20">
        <v>20</v>
      </c>
      <c r="C15" s="14">
        <v>44515</v>
      </c>
      <c r="D15" s="29">
        <v>0.73481481481576338</v>
      </c>
      <c r="E15" s="15" t="s">
        <v>9</v>
      </c>
      <c r="F15" s="16" t="s">
        <v>35</v>
      </c>
    </row>
    <row r="16" spans="2:6" x14ac:dyDescent="0.55000000000000004">
      <c r="B16" s="20">
        <v>19</v>
      </c>
      <c r="C16" s="14">
        <v>44515</v>
      </c>
      <c r="D16" s="29">
        <v>0.43307870370335877</v>
      </c>
      <c r="E16" s="15" t="s">
        <v>9</v>
      </c>
      <c r="F16" s="17" t="s">
        <v>33</v>
      </c>
    </row>
    <row r="17" spans="2:6" x14ac:dyDescent="0.55000000000000004">
      <c r="B17" s="20">
        <v>18</v>
      </c>
      <c r="C17" s="14">
        <v>44511</v>
      </c>
      <c r="D17" s="29">
        <v>0.49972222222277196</v>
      </c>
      <c r="E17" s="15" t="s">
        <v>9</v>
      </c>
      <c r="F17" s="16" t="s">
        <v>32</v>
      </c>
    </row>
    <row r="18" spans="2:6" x14ac:dyDescent="0.55000000000000004">
      <c r="B18" s="20">
        <v>17</v>
      </c>
      <c r="C18" s="14">
        <v>44510</v>
      </c>
      <c r="D18" s="29">
        <v>0.79998842592613073</v>
      </c>
      <c r="E18" s="15" t="s">
        <v>9</v>
      </c>
      <c r="F18" s="17" t="s">
        <v>28</v>
      </c>
    </row>
    <row r="19" spans="2:6" x14ac:dyDescent="0.55000000000000004">
      <c r="B19" s="20">
        <v>16</v>
      </c>
      <c r="C19" s="14">
        <v>44509</v>
      </c>
      <c r="D19" s="29">
        <v>0.39770833333022892</v>
      </c>
      <c r="E19" s="15" t="s">
        <v>9</v>
      </c>
      <c r="F19" s="16" t="s">
        <v>27</v>
      </c>
    </row>
    <row r="20" spans="2:6" x14ac:dyDescent="0.55000000000000004">
      <c r="B20" s="20">
        <v>15</v>
      </c>
      <c r="C20" s="14">
        <v>44508</v>
      </c>
      <c r="D20" s="29">
        <v>0.60962962963094469</v>
      </c>
      <c r="E20" s="15" t="s">
        <v>9</v>
      </c>
      <c r="F20" s="16" t="s">
        <v>26</v>
      </c>
    </row>
    <row r="21" spans="2:6" x14ac:dyDescent="0.55000000000000004">
      <c r="B21" s="20">
        <v>14</v>
      </c>
      <c r="C21" s="14">
        <v>44507</v>
      </c>
      <c r="D21" s="29">
        <v>0.43253472222568234</v>
      </c>
      <c r="E21" s="15" t="s">
        <v>9</v>
      </c>
      <c r="F21" s="16" t="s">
        <v>22</v>
      </c>
    </row>
    <row r="22" spans="2:6" x14ac:dyDescent="0.55000000000000004">
      <c r="B22" s="20">
        <v>13</v>
      </c>
      <c r="C22" s="14">
        <v>44484</v>
      </c>
      <c r="D22" s="29">
        <v>0.83906250000291038</v>
      </c>
      <c r="E22" s="15" t="s">
        <v>9</v>
      </c>
      <c r="F22" s="16" t="s">
        <v>21</v>
      </c>
    </row>
    <row r="23" spans="2:6" x14ac:dyDescent="0.55000000000000004">
      <c r="B23" s="20">
        <v>12</v>
      </c>
      <c r="C23" s="14">
        <v>44482</v>
      </c>
      <c r="D23" s="29">
        <v>0.53171296296204673</v>
      </c>
      <c r="E23" s="15" t="s">
        <v>9</v>
      </c>
      <c r="F23" s="16" t="s">
        <v>20</v>
      </c>
    </row>
    <row r="24" spans="2:6" x14ac:dyDescent="0.55000000000000004">
      <c r="B24" s="20">
        <v>11</v>
      </c>
      <c r="C24" s="14">
        <v>44481</v>
      </c>
      <c r="D24" s="29">
        <v>0.52262731481459923</v>
      </c>
      <c r="E24" s="15" t="s">
        <v>9</v>
      </c>
      <c r="F24" s="16" t="s">
        <v>19</v>
      </c>
    </row>
    <row r="25" spans="2:6" x14ac:dyDescent="0.55000000000000004">
      <c r="B25" s="20">
        <v>10</v>
      </c>
      <c r="C25" s="14">
        <v>44469</v>
      </c>
      <c r="D25" s="29">
        <v>0.71196759259328246</v>
      </c>
      <c r="E25" s="15" t="s">
        <v>9</v>
      </c>
      <c r="F25" s="16" t="s">
        <v>18</v>
      </c>
    </row>
    <row r="26" spans="2:6" x14ac:dyDescent="0.55000000000000004">
      <c r="B26" s="20">
        <v>9</v>
      </c>
      <c r="C26" s="14">
        <v>44468</v>
      </c>
      <c r="D26" s="29">
        <v>0.83050925925635966</v>
      </c>
      <c r="E26" s="15" t="s">
        <v>9</v>
      </c>
      <c r="F26" s="16" t="s">
        <v>18</v>
      </c>
    </row>
    <row r="27" spans="2:6" x14ac:dyDescent="0.55000000000000004">
      <c r="B27" s="20">
        <v>8</v>
      </c>
      <c r="C27" s="14">
        <v>44466</v>
      </c>
      <c r="D27" s="29">
        <v>0.80711805555620231</v>
      </c>
      <c r="E27" s="15" t="s">
        <v>9</v>
      </c>
      <c r="F27" s="16" t="s">
        <v>17</v>
      </c>
    </row>
    <row r="28" spans="2:6" x14ac:dyDescent="0.55000000000000004">
      <c r="B28" s="20">
        <v>7</v>
      </c>
      <c r="C28" s="14">
        <v>44462</v>
      </c>
      <c r="D28" s="29">
        <v>0.55222222222073469</v>
      </c>
      <c r="E28" s="15" t="s">
        <v>9</v>
      </c>
      <c r="F28" s="16" t="s">
        <v>16</v>
      </c>
    </row>
    <row r="29" spans="2:6" x14ac:dyDescent="0.55000000000000004">
      <c r="B29" s="20">
        <v>6</v>
      </c>
      <c r="C29" s="14">
        <v>44459</v>
      </c>
      <c r="D29" s="29">
        <v>0.61313657407299615</v>
      </c>
      <c r="E29" s="15" t="s">
        <v>9</v>
      </c>
      <c r="F29" s="16" t="s">
        <v>15</v>
      </c>
    </row>
    <row r="30" spans="2:6" x14ac:dyDescent="0.55000000000000004">
      <c r="B30" s="20">
        <v>5</v>
      </c>
      <c r="C30" s="14">
        <v>44448</v>
      </c>
      <c r="D30" s="29">
        <v>0.35343750000174623</v>
      </c>
      <c r="E30" s="15" t="s">
        <v>9</v>
      </c>
      <c r="F30" s="16" t="s">
        <v>15</v>
      </c>
    </row>
    <row r="31" spans="2:6" x14ac:dyDescent="0.55000000000000004">
      <c r="B31" s="20">
        <v>4</v>
      </c>
      <c r="C31" s="14">
        <v>44447</v>
      </c>
      <c r="D31" s="29">
        <v>0.78216435185458977</v>
      </c>
      <c r="E31" s="15" t="s">
        <v>9</v>
      </c>
      <c r="F31" s="16" t="s">
        <v>15</v>
      </c>
    </row>
    <row r="32" spans="2:6" x14ac:dyDescent="0.55000000000000004">
      <c r="B32" s="20">
        <v>3</v>
      </c>
      <c r="C32" s="14">
        <v>44445</v>
      </c>
      <c r="D32" s="29">
        <v>0.60179398148466134</v>
      </c>
      <c r="E32" s="15" t="s">
        <v>9</v>
      </c>
      <c r="F32" s="16" t="s">
        <v>14</v>
      </c>
    </row>
    <row r="33" spans="2:6" x14ac:dyDescent="0.55000000000000004">
      <c r="B33" s="20">
        <v>2</v>
      </c>
      <c r="C33" s="14">
        <v>44444</v>
      </c>
      <c r="D33" s="29">
        <v>0.328229166669189</v>
      </c>
      <c r="E33" s="15" t="s">
        <v>9</v>
      </c>
      <c r="F33" s="16" t="s">
        <v>13</v>
      </c>
    </row>
    <row r="34" spans="2:6" x14ac:dyDescent="0.55000000000000004">
      <c r="B34" s="9">
        <v>1</v>
      </c>
      <c r="C34" s="11">
        <v>44423</v>
      </c>
      <c r="D34" s="30">
        <v>0.562395833330811</v>
      </c>
      <c r="E34" s="10" t="s">
        <v>9</v>
      </c>
      <c r="F34" s="12" t="s">
        <v>10</v>
      </c>
    </row>
  </sheetData>
  <sheetProtection sheet="1" objects="1" scenarios="1"/>
  <conditionalFormatting sqref="B4:F4">
    <cfRule type="cellIs" dxfId="2" priority="1" operator="equal">
      <formula>"Double-click to filter"</formula>
    </cfRule>
    <cfRule type="cellIs" dxfId="1" priority="2" operator="equal">
      <formula>"Double-click"</formula>
    </cfRule>
    <cfRule type="cellIs" dxfId="0" priority="3" operator="equal">
      <formula>"Dbl-click"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Audit</vt:lpstr>
      <vt:lpstr>Audit!Headers</vt:lpstr>
      <vt:lpstr>SourceFile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2021-08-15T11:07:56Z</dcterms:created>
  <dcterms:modified xsi:type="dcterms:W3CDTF">2026-08-13T13:53:24Z</dcterms:modified>
</cp:coreProperties>
</file>